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74163272-DE71-5546-8854-454F823FECE7}" xr6:coauthVersionLast="47" xr6:coauthVersionMax="47" xr10:uidLastSave="{00000000-0000-0000-0000-000000000000}"/>
  <bookViews>
    <workbookView xWindow="1040" yWindow="2320" windowWidth="16380" windowHeight="14480" tabRatio="500" activeTab="2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7" l="1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J14" i="2"/>
  <c r="I14" i="2"/>
  <c r="I13" i="2"/>
  <c r="I12" i="2"/>
  <c r="J2" i="7"/>
  <c r="I2" i="7"/>
  <c r="I10" i="2"/>
  <c r="I9" i="2"/>
  <c r="I8" i="2"/>
  <c r="I7" i="2"/>
  <c r="I6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<sst xmlns="http://schemas.openxmlformats.org/spreadsheetml/2006/main" count="110" uniqueCount="99">
  <si>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</si>
  <si>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</si>
  <si>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</si>
  <si>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</si>
  <si>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</si>
  <si>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</si>
  <si>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</si>
  <si>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</si>
  <si>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</si>
  <si>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</si>
  <si>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</si>
  <si>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</si>
  <si>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</si>
  <si>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</si>
  <si>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</si>
  <si>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17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</si>
  <si>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</si>
  <si>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</si>
  <si>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</si>
  <si>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Coconut rice porridge with mango</t>
  </si>
  <si>
    <t>ქოქოსის ბრინჯი მანგოთი</t>
  </si>
  <si>
    <t>Шакшука</t>
  </si>
  <si>
    <t>Shakshuka</t>
  </si>
  <si>
    <t>შაკშუკა</t>
  </si>
  <si>
    <t>15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</si>
  <si>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</si>
  <si>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</si>
  <si>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</si>
  <si>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</si>
  <si>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</si>
  <si>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</si>
  <si>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</si>
  <si>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</si>
  <si>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</si>
  <si>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</si>
  <si>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</si>
  <si>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</si>
  <si>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</si>
  <si>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</si>
  <si>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</si>
  <si>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</si>
  <si>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</si>
  <si>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18</t>
  </si>
  <si>
    <t>Сырники со сметаной и вишней</t>
  </si>
  <si>
    <t>Syrniki with sour cream and cherries</t>
  </si>
  <si>
    <t>სირნიკები არაჟანით და ალუბლით</t>
  </si>
  <si>
    <t>14</t>
  </si>
  <si>
    <t>Креп Сюзет</t>
  </si>
  <si>
    <t>Crêpe Suzette</t>
  </si>
  <si>
    <t>ბლინები სუზეტე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</si>
  <si>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</si>
  <si>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</si>
  <si>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</si>
  <si>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</si>
  <si>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</si>
  <si>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8</t>
  </si>
  <si>
    <t>Мидии в сливочном соусе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</si>
  <si>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</si>
  <si>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</si>
  <si>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</si>
  <si>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</si>
  <si>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</si>
  <si>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</si>
  <si>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</si>
  <si>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</si>
  <si>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</si>
  <si>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19</t>
  </si>
  <si>
    <t>shakshuka2</t>
  </si>
  <si>
    <t>16</t>
  </si>
  <si>
    <t>25</t>
  </si>
  <si>
    <t>23</t>
  </si>
  <si>
    <t>Creamy meatball soup</t>
  </si>
  <si>
    <t>Сливочный суп с фрикадельками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</si>
  <si>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</si>
  <si>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</si>
  <si>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</si>
  <si>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</si>
  <si>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</si>
  <si>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</si>
  <si>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</si>
  <si>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</si>
  <si>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</si>
  <si>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</si>
  <si>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</si>
  <si>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</si>
  <si>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</si>
  <si>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</si>
  <si>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 в сливочном соусе с грибами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</si>
  <si>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</si>
  <si>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</si>
  <si>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</si>
  <si>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</si>
  <si>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</si>
  <si>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</si>
  <si>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</si>
  <si>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</si>
  <si>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shrimp/salmon</t>
  </si>
  <si>
    <t>Поке Боул с креветками/лососем</t>
  </si>
  <si>
    <t>ბოული ორაგულით/კრევეტებით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</si>
</sst>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0" fontId="3" fillId="0" borderId="0" xfId="0" applyFont="1" applyAlignment="1">
      <alignment wrapText="1"/>
    </xf>
    <xf numFmtId="49" fontId="3" fillId="0" borderId="0" xfId="0" applyNumberFormat="1" applyFont="1"/>
    <xf numFmtId="49" fontId="3" fillId="0" borderId="0" xfId="0" applyNumberFormat="1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0" fontId="13" fillId="0" borderId="0" xfId="0" applyFont="1" applyAlignment="1">
      <alignment wrapText="1"/>
    </xf>
    <xf numFmtId="49" fontId="13" fillId="0" borderId="0" xfId="0" applyNumberFormat="1" applyFont="1"/>
    <xf numFmtId="49" fontId="13" fillId="0" borderId="0" xfId="0" applyNumberFormat="1" applyFont="1" applyAlignment="1">
      <alignment horizontal="right"/>
    </xf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7" sqref="C7"/>
    </sheetView>
  </sheetViews>
  <sheetFormatPr baseColWidth="10" defaultColWidth="12.6640625" defaultRowHeight="16"/>
  <cols>
    <col min="1" max="1" width="25.33203125" customWidth="1"/>
    <col min="3" max="3" width="12.832031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57</v>
      </c>
      <c r="B2" s="3" t="s">
        <v>58</v>
      </c>
      <c r="C2" s="3" t="s">
        <v>59</v>
      </c>
      <c r="D2" s="2"/>
    </row>
    <row r="3" spans="1:4" ht="19">
      <c r="A3" s="3" t="s">
        <v>94</v>
      </c>
      <c r="B3" s="3" t="s">
        <v>93</v>
      </c>
      <c r="C3" s="3" t="s">
        <v>95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zoomScaleNormal="100" workbookViewId="0">
      <selection activeCell="A3" sqref="A3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3" t="s">
        <v>13</v>
      </c>
      <c r="B2" s="9" t="s">
        <v>50</v>
      </c>
      <c r="C2" s="3" t="s">
        <v>14</v>
      </c>
      <c r="D2" s="10"/>
      <c r="E2" s="11" t="s">
        <v>15</v>
      </c>
      <c r="F2" s="3"/>
      <c r="G2" s="12"/>
      <c r="H2" s="13"/>
      <c r="I2" s="13" t="str">
        <f t="shared" ref="I2:I14" si="0">LOWER($B2)</f>
        <v>buckwheat risotto with bacon and poached egg</v>
      </c>
      <c r="J2" s="13" t="str">
        <f>LOWER($B2)&amp;"_"&amp;2</f>
        <v>buckwheat risotto with bacon and poached egg_2</v>
      </c>
    </row>
    <row r="3" spans="1:30">
      <c r="A3" s="3" t="s">
        <v>16</v>
      </c>
      <c r="B3" s="3" t="s">
        <v>17</v>
      </c>
      <c r="C3" s="3" t="s">
        <v>18</v>
      </c>
      <c r="D3" s="3"/>
      <c r="E3" s="3">
        <v>16</v>
      </c>
      <c r="F3" s="3"/>
      <c r="G3" s="14"/>
      <c r="H3" s="15"/>
      <c r="I3" s="13" t="str">
        <f t="shared" si="0"/>
        <v>spinach couscous with avocado and poached egg</v>
      </c>
      <c r="J3" s="13" t="str">
        <f>LOWER($B3)&amp;"_"&amp;2</f>
        <v>spinach couscous with avocado and poached egg_2</v>
      </c>
    </row>
    <row r="4" spans="1:30">
      <c r="A4" s="3" t="s">
        <v>64</v>
      </c>
      <c r="B4" s="3" t="s">
        <v>19</v>
      </c>
      <c r="C4" s="3" t="s">
        <v>20</v>
      </c>
      <c r="D4" s="3"/>
      <c r="E4" s="3">
        <v>12</v>
      </c>
      <c r="F4" s="3"/>
      <c r="G4" s="14"/>
      <c r="H4" s="15"/>
      <c r="I4" s="13" t="str">
        <f t="shared" si="0"/>
        <v>coconut rice porridge with mango</v>
      </c>
      <c r="J4" s="13" t="str">
        <f>LOWER($B4)&amp;"_"&amp;2</f>
        <v>coconut rice porridge with mango_2</v>
      </c>
    </row>
    <row r="5" spans="1:30">
      <c r="A5" s="3" t="s">
        <v>21</v>
      </c>
      <c r="B5" s="3" t="s">
        <v>22</v>
      </c>
      <c r="C5" s="3" t="s">
        <v>23</v>
      </c>
      <c r="D5" s="10"/>
      <c r="E5" s="11" t="s">
        <v>24</v>
      </c>
      <c r="F5" s="3"/>
      <c r="G5" s="16"/>
      <c r="H5" s="13"/>
      <c r="I5" s="13" t="s">
        <v>67</v>
      </c>
      <c r="J5" s="13" t="str">
        <f t="shared" ref="J5:J14" si="1">LOWER($B5)&amp;"_"&amp;2</f>
        <v>shakshuka_2</v>
      </c>
    </row>
    <row r="6" spans="1:30">
      <c r="A6" s="3" t="s">
        <v>25</v>
      </c>
      <c r="B6" s="3" t="s">
        <v>26</v>
      </c>
      <c r="C6" s="3" t="s">
        <v>27</v>
      </c>
      <c r="D6" s="3"/>
      <c r="E6" s="3">
        <v>18</v>
      </c>
      <c r="F6" s="3"/>
      <c r="G6" s="16"/>
      <c r="H6" s="13"/>
      <c r="I6" s="13" t="str">
        <f t="shared" si="0"/>
        <v>english breakfast</v>
      </c>
      <c r="J6" s="13" t="str">
        <f t="shared" si="1"/>
        <v>english breakfast_2</v>
      </c>
    </row>
    <row r="7" spans="1:30">
      <c r="A7" s="3" t="s">
        <v>28</v>
      </c>
      <c r="B7" s="3" t="s">
        <v>29</v>
      </c>
      <c r="C7" s="3" t="s">
        <v>30</v>
      </c>
      <c r="D7" s="3"/>
      <c r="E7" s="3">
        <v>17</v>
      </c>
      <c r="F7" s="3"/>
      <c r="G7" s="16"/>
      <c r="H7" s="13"/>
      <c r="I7" s="13" t="str">
        <f t="shared" si="0"/>
        <v>eggs benedict on brioche with bacon</v>
      </c>
      <c r="J7" s="13" t="str">
        <f t="shared" si="1"/>
        <v>eggs benedict on brioche with bacon_2</v>
      </c>
    </row>
    <row r="8" spans="1:30">
      <c r="A8" s="3" t="s">
        <v>31</v>
      </c>
      <c r="B8" s="3" t="s">
        <v>32</v>
      </c>
      <c r="C8" s="3" t="s">
        <v>33</v>
      </c>
      <c r="D8" s="3"/>
      <c r="E8" s="3">
        <v>18</v>
      </c>
      <c r="I8" s="13" t="str">
        <f t="shared" si="0"/>
        <v>eggs benedict on brioche with salmon</v>
      </c>
      <c r="J8" s="13" t="str">
        <f t="shared" si="1"/>
        <v>eggs benedict on brioche with salmon_2</v>
      </c>
    </row>
    <row r="9" spans="1:30">
      <c r="A9" s="3" t="s">
        <v>34</v>
      </c>
      <c r="B9" s="3" t="s">
        <v>35</v>
      </c>
      <c r="C9" s="3" t="s">
        <v>36</v>
      </c>
      <c r="D9" s="3"/>
      <c r="E9" s="3">
        <v>22</v>
      </c>
      <c r="F9" s="8"/>
      <c r="G9" s="8"/>
      <c r="H9" s="17"/>
      <c r="I9" s="13" t="str">
        <f t="shared" si="0"/>
        <v>shrimp omelette</v>
      </c>
      <c r="J9" s="13" t="str">
        <f t="shared" si="1"/>
        <v>shrimp omelette_2</v>
      </c>
      <c r="K9" s="8"/>
      <c r="L9" s="8"/>
      <c r="M9" s="8"/>
      <c r="N9" s="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3" t="s">
        <v>51</v>
      </c>
      <c r="B10" s="3" t="s">
        <v>37</v>
      </c>
      <c r="C10" s="3" t="s">
        <v>38</v>
      </c>
      <c r="D10" s="3"/>
      <c r="E10" s="3">
        <v>22</v>
      </c>
      <c r="F10" s="12"/>
      <c r="G10" s="12"/>
      <c r="H10" s="17"/>
      <c r="I10" s="13" t="str">
        <f t="shared" si="0"/>
        <v>truffle scrambled eggs with chanterelles</v>
      </c>
      <c r="J10" s="13" t="str">
        <f t="shared" si="1"/>
        <v>truffle scrambled eggs with chanterelles_2</v>
      </c>
      <c r="K10" s="12"/>
      <c r="L10" s="13"/>
      <c r="M10" s="13"/>
      <c r="N10" s="13"/>
      <c r="O10" s="13"/>
      <c r="P10" s="18"/>
      <c r="Q10" s="1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7" customHeight="1">
      <c r="A11" s="3" t="s">
        <v>39</v>
      </c>
      <c r="B11" s="3" t="s">
        <v>40</v>
      </c>
      <c r="C11" s="3" t="s">
        <v>41</v>
      </c>
      <c r="D11" s="10"/>
      <c r="E11" s="11" t="s">
        <v>42</v>
      </c>
      <c r="F11" s="12"/>
      <c r="G11" s="12"/>
      <c r="H11" s="17"/>
      <c r="I11" s="13" t="str">
        <f t="shared" si="0"/>
        <v>avocado toast</v>
      </c>
      <c r="J11" s="13" t="str">
        <f t="shared" si="1"/>
        <v>avocado toast_2</v>
      </c>
      <c r="K11" s="1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3" t="s">
        <v>43</v>
      </c>
      <c r="B12" s="3" t="s">
        <v>44</v>
      </c>
      <c r="C12" s="3" t="s">
        <v>45</v>
      </c>
      <c r="D12" s="10"/>
      <c r="E12" s="11" t="s">
        <v>66</v>
      </c>
      <c r="F12" s="13"/>
      <c r="G12" s="13"/>
      <c r="H12" s="19"/>
      <c r="I12" s="13" t="str">
        <f t="shared" si="0"/>
        <v>syrniki with sour cream and cherries</v>
      </c>
      <c r="J12" s="13" t="str">
        <f t="shared" si="1"/>
        <v>syrniki with sour cream and cherries_2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3" t="s">
        <v>47</v>
      </c>
      <c r="B13" s="3" t="s">
        <v>48</v>
      </c>
      <c r="C13" s="3" t="s">
        <v>49</v>
      </c>
      <c r="D13" s="3"/>
      <c r="E13" s="11" t="s">
        <v>46</v>
      </c>
      <c r="F13" s="13"/>
      <c r="G13" s="13"/>
      <c r="H13" s="19"/>
      <c r="I13" s="13" t="str">
        <f t="shared" si="0"/>
        <v>crêpe suzette</v>
      </c>
      <c r="J13" s="13" t="str">
        <f t="shared" si="1"/>
        <v>crêpe suzette_2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3" t="s">
        <v>62</v>
      </c>
      <c r="B14" s="3" t="s">
        <v>63</v>
      </c>
      <c r="C14" s="3" t="s">
        <v>65</v>
      </c>
      <c r="E14" s="13">
        <v>15</v>
      </c>
      <c r="F14" s="13"/>
      <c r="G14" s="13"/>
      <c r="H14" s="19"/>
      <c r="I14" s="13" t="str">
        <f t="shared" si="0"/>
        <v>chocolate fondant</v>
      </c>
      <c r="J14" s="13" t="str">
        <f t="shared" si="1"/>
        <v>chocolate fondant_2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abSelected="1" topLeftCell="G1" workbookViewId="0">
      <selection activeCell="I11" sqref="I11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0" t="s">
        <v>54</v>
      </c>
      <c r="B2" s="21" t="s">
        <v>52</v>
      </c>
      <c r="C2" s="20" t="s">
        <v>60</v>
      </c>
      <c r="D2" s="22"/>
      <c r="E2" s="23" t="s">
        <v>55</v>
      </c>
      <c r="F2" s="3"/>
      <c r="G2" s="12"/>
      <c r="H2" s="13"/>
      <c r="I2" s="13" t="str">
        <f t="shared" ref="I2:I11" si="0">LOWER($B2)</f>
        <v>eggplants with honey</v>
      </c>
      <c r="J2" s="13" t="str">
        <f>LOWER($B2)&amp;"_"&amp;2</f>
        <v>eggplants with honey_2</v>
      </c>
    </row>
    <row r="3" spans="1:30" ht="20.25" customHeight="1">
      <c r="A3" s="20" t="s">
        <v>72</v>
      </c>
      <c r="B3" s="21" t="s">
        <v>71</v>
      </c>
      <c r="C3" t="s">
        <v>73</v>
      </c>
      <c r="D3" s="22"/>
      <c r="E3" s="23" t="s">
        <v>68</v>
      </c>
      <c r="F3" s="3"/>
      <c r="G3" s="12"/>
      <c r="H3" s="13"/>
      <c r="I3" s="13" t="str">
        <f t="shared" si="0"/>
        <v>creamy meatball soup</v>
      </c>
      <c r="J3" s="13" t="str">
        <f t="shared" ref="J3:J11" si="1">LOWER($B3)&amp;"_"&amp;2</f>
        <v>creamy meatball soup_2</v>
      </c>
    </row>
    <row r="4" spans="1:30" ht="20.25" customHeight="1">
      <c r="A4" s="20" t="s">
        <v>76</v>
      </c>
      <c r="B4" s="25" t="s">
        <v>74</v>
      </c>
      <c r="C4" t="s">
        <v>75</v>
      </c>
      <c r="D4" s="22"/>
      <c r="E4" s="23" t="s">
        <v>69</v>
      </c>
      <c r="F4" s="3"/>
      <c r="G4" s="12"/>
      <c r="H4" s="13"/>
      <c r="I4" s="13" t="str">
        <f t="shared" si="0"/>
        <v>tom yum</v>
      </c>
      <c r="J4" s="13" t="str">
        <f t="shared" si="1"/>
        <v>tom yum_2</v>
      </c>
    </row>
    <row r="5" spans="1:30" ht="20.25" customHeight="1">
      <c r="A5" s="20" t="s">
        <v>88</v>
      </c>
      <c r="B5" s="25" t="s">
        <v>77</v>
      </c>
      <c r="C5" t="s">
        <v>78</v>
      </c>
      <c r="D5" s="22"/>
      <c r="E5" s="23" t="s">
        <v>66</v>
      </c>
      <c r="F5" s="3" t="s">
        <v>87</v>
      </c>
      <c r="G5" s="12"/>
      <c r="H5" s="13"/>
      <c r="I5" s="13" t="str">
        <f t="shared" si="0"/>
        <v>potato draniki with chicken</v>
      </c>
      <c r="J5" s="13" t="str">
        <f t="shared" si="1"/>
        <v>potato draniki with chicken_2</v>
      </c>
    </row>
    <row r="6" spans="1:30" ht="20.25" customHeight="1">
      <c r="A6" s="20" t="s">
        <v>89</v>
      </c>
      <c r="B6" s="25" t="s">
        <v>79</v>
      </c>
      <c r="C6" t="s">
        <v>80</v>
      </c>
      <c r="D6" s="22"/>
      <c r="E6" s="23" t="s">
        <v>70</v>
      </c>
      <c r="F6" s="3"/>
      <c r="G6" s="12"/>
      <c r="H6" s="13"/>
      <c r="I6" s="13" t="str">
        <f t="shared" si="0"/>
        <v>schnitzel with potatoes</v>
      </c>
      <c r="J6" s="13" t="str">
        <f t="shared" si="1"/>
        <v>schnitzel with potatoes_2</v>
      </c>
    </row>
    <row r="7" spans="1:30" ht="19">
      <c r="A7" s="20" t="s">
        <v>56</v>
      </c>
      <c r="B7" s="20" t="s">
        <v>53</v>
      </c>
      <c r="C7" s="24" t="s">
        <v>61</v>
      </c>
      <c r="D7" s="20"/>
      <c r="E7" s="20">
        <v>28</v>
      </c>
      <c r="F7" s="3"/>
      <c r="G7" s="16"/>
      <c r="H7" s="13"/>
      <c r="I7" s="13" t="str">
        <f t="shared" si="0"/>
        <v>mussels with cream</v>
      </c>
      <c r="J7" s="13" t="str">
        <f t="shared" si="1"/>
        <v>mussels with cream_2</v>
      </c>
    </row>
    <row r="8" spans="1:30" ht="19">
      <c r="A8" s="20" t="s">
        <v>90</v>
      </c>
      <c r="B8" s="25" t="s">
        <v>81</v>
      </c>
      <c r="C8" t="s">
        <v>82</v>
      </c>
      <c r="E8" s="13">
        <v>22</v>
      </c>
      <c r="F8" s="12"/>
      <c r="G8" s="12"/>
      <c r="H8" s="17"/>
      <c r="I8" s="13" t="str">
        <f t="shared" si="0"/>
        <v>udon with chicken</v>
      </c>
      <c r="J8" s="13" t="str">
        <f t="shared" si="1"/>
        <v>udon with chicken_2</v>
      </c>
      <c r="K8" s="1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9">
      <c r="A9" s="20" t="s">
        <v>91</v>
      </c>
      <c r="B9" s="25" t="s">
        <v>83</v>
      </c>
      <c r="C9" t="s">
        <v>84</v>
      </c>
      <c r="E9" s="13">
        <v>18</v>
      </c>
      <c r="F9" s="12"/>
      <c r="G9" s="12"/>
      <c r="H9" s="17"/>
      <c r="I9" s="13" t="str">
        <f t="shared" si="0"/>
        <v>udon with vegetables</v>
      </c>
      <c r="J9" s="13" t="str">
        <f t="shared" si="1"/>
        <v>udon with vegetables_2</v>
      </c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9">
      <c r="A10" s="20" t="s">
        <v>92</v>
      </c>
      <c r="B10" s="25" t="s">
        <v>85</v>
      </c>
      <c r="C10" t="s">
        <v>86</v>
      </c>
      <c r="E10" s="13">
        <v>26</v>
      </c>
      <c r="F10" s="12"/>
      <c r="G10" s="12"/>
      <c r="H10" s="17"/>
      <c r="I10" s="13" t="str">
        <f t="shared" si="0"/>
        <v>udon with shrimp</v>
      </c>
      <c r="J10" s="13" t="str">
        <f t="shared" si="1"/>
        <v>udon with shrimp_2</v>
      </c>
      <c r="K10" s="1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9">
      <c r="A11" s="20" t="s">
        <v>97</v>
      </c>
      <c r="B11" s="25" t="s">
        <v>96</v>
      </c>
      <c r="C11" t="s">
        <v>98</v>
      </c>
      <c r="E11" s="13">
        <v>21</v>
      </c>
      <c r="F11" s="13"/>
      <c r="G11" s="13"/>
      <c r="H11" s="19"/>
      <c r="I11" s="13" t="str">
        <f t="shared" si="0"/>
        <v>poke bowl with shrimp/salmon</v>
      </c>
      <c r="J11" s="13" t="str">
        <f t="shared" si="1"/>
        <v>poke bowl with shrimp/salmon_2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E12" s="13"/>
      <c r="F12" s="13"/>
      <c r="G12" s="13"/>
      <c r="H12" s="19"/>
      <c r="I12" s="19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E14" s="13"/>
      <c r="F14" s="13"/>
      <c r="G14" s="13"/>
      <c r="H14" s="19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 spans="5:30">
      <c r="E1001" s="13"/>
      <c r="F1001" s="13"/>
      <c r="G1001" s="13"/>
      <c r="H1001" s="19"/>
      <c r="I1001" s="19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</row>
    <row r="1002" spans="5:30">
      <c r="E1002" s="13"/>
      <c r="F1002" s="13"/>
      <c r="G1002" s="13"/>
      <c r="H1002" s="19"/>
      <c r="I1002" s="19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</row>
    <row r="1003" spans="5:30">
      <c r="E1003" s="13"/>
      <c r="F1003" s="13"/>
      <c r="G1003" s="13"/>
      <c r="H1003" s="19"/>
      <c r="I1003" s="19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</row>
    <row r="1004" spans="5:30">
      <c r="E1004" s="13"/>
      <c r="F1004" s="13"/>
      <c r="G1004" s="13"/>
      <c r="H1004" s="19"/>
      <c r="I1004" s="19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2025-11-24T22:34:46Z</dcterms:modified>
  <dc:language>en-US</dc:language>
</cp:coreProperties>
</file>