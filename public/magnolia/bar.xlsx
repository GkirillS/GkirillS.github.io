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4DC7C2F9-44E0-E34C-947E-FC119D3B9856}" xr6:coauthVersionLast="47" xr6:coauthVersionMax="47" xr10:uidLastSave="{00000000-0000-0000-0000-000000000000}"/>
  <bookViews>
    <workbookView xWindow="-20" yWindow="600" windowWidth="19940" windowHeight="16260" firstSheet="1" activeTab="7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2" l="1"/>
  <c r="I6" i="2"/>
  <c r="J7" i="3"/>
  <c r="I7" i="3"/>
  <c r="J7" i="8"/>
  <c r="I7" i="8"/>
  <c r="J3" i="11"/>
  <c r="J4" i="11"/>
  <c r="J5" i="11"/>
  <c r="I3" i="11"/>
  <c r="I4" i="11"/>
  <c r="I5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5"/>
  <c r="J4" i="5"/>
  <c r="J5" i="5"/>
  <c r="I6" i="5"/>
  <c r="J6" i="5"/>
</calcChain>
</file>

<file path=xl/sharedStrings.xml><?xml version="1.0" encoding="utf-8"?>
<sst xmlns="http://schemas.openxmlformats.org/spreadsheetml/2006/main" count="317" uniqueCount="199">
  <si>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</si>
  <si>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</si>
  <si>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</si>
  <si>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</si>
  <si>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</si>
  <si>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</si>
  <si>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</si>
  <si>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</si>
  <si>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</si>
  <si>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</si>
  <si>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</si>
  <si>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</si>
  <si>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</si>
  <si>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</si>
  <si>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</si>
  <si>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</si>
  <si>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</si>
  <si>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</si>
  <si>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</si>
  <si>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</si>
  <si>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</si>
  <si>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</si>
  <si>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</si>
  <si>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</si>
  <si>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</si>
  <si>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</si>
  <si>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</si>
  <si>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</si>
  <si>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</si>
  <si>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</si>
  <si>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</si>
  <si>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</si>
  <si>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</si>
  <si>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</si>
  <si>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</si>
  <si>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</si>
  <si>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</si>
  <si>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</si>
  <si>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</si>
  <si>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</si>
  <si>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</si>
  <si>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</si>
  <si>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</si>
  <si>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</si>
  <si>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ლატე</t>
  </si>
  <si>
    <t>Фильтр кофе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</si>
  <si>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</si>
  <si>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</si>
  <si>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</si>
  <si>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</si>
  <si>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</si>
  <si>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</si>
  <si>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</si>
  <si>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</si>
  <si>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</si>
  <si>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</si>
  <si>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</si>
  <si>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</si>
  <si>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</si>
  <si>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</si>
  <si>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</si>
  <si>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</si>
  <si>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</si>
  <si>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</si>
  <si>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</si>
  <si>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</si>
  <si>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</si>
  <si>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</si>
  <si>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</si>
  <si>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</si>
  <si>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</si>
  <si>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</si>
  <si>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</si>
  <si>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</si>
  <si>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</si>
  <si>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</si>
  <si>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</si>
  <si>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</si>
  <si>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</si>
  <si>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</si>
  <si>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</si>
  <si>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</si>
  <si>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</si>
  <si>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</si>
  <si>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</si>
  <si>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</si>
  <si>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</si>
  <si>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</si>
  <si>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</si>
  <si>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</si>
  <si>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</si>
  <si>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</si>
  <si>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</si>
  <si>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</si>
  <si>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</si>
  <si>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Affogato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</si>
  <si>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</si>
  <si>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</si>
  <si>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</si>
  <si>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</si>
  <si>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</si>
  <si>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</si>
  <si>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</si>
  <si>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</si>
  <si>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</si>
  <si>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</si>
  <si>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</si>
  <si>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</si>
  <si>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Ice matcha strawberry</t>
  </si>
  <si>
    <t>Matcha affogato</t>
  </si>
  <si>
    <t>Matcha orange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</si>
  <si>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</si>
  <si>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</si>
  <si>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</si>
  <si>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</si>
  <si>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</si>
  <si>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</si>
  <si>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</si>
  <si>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</si>
  <si>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</si>
  <si>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</si>
  <si>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</si>
  <si>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</si>
  <si>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</si>
  <si>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</si>
  <si>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</si>
  <si>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</si>
  <si>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</si>
  <si>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</si>
  <si>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</si>
  <si>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</si>
  <si>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</si>
  <si>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</si>
  <si>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</si>
  <si>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</si>
  <si>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</si>
  <si>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</si>
  <si>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</si>
  <si>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</si>
  <si>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</si>
  <si>
    <t>Латте/ Холодный Латте</t>
  </si>
  <si>
    <t>matcha orange3</t>
  </si>
  <si>
    <t>bumble4</t>
  </si>
  <si>
    <t>bumble4_2</t>
  </si>
  <si>
    <t>matcha orange3_2</t>
  </si>
  <si>
    <t>Matcha latte-ice matcha latte</t>
  </si>
  <si>
    <t>Latte-Ice Latte</t>
  </si>
  <si>
    <t>Espresso tonic</t>
  </si>
  <si>
    <t xml:space="preserve">filter coffee  </t>
  </si>
  <si>
    <t xml:space="preserve">Masala </t>
  </si>
  <si>
    <t>ბეილისის მოკა</t>
  </si>
  <si>
    <t>ფორთოხლის წვენი</t>
  </si>
  <si>
    <t>ესპრესო ტონიკი ალუბლით</t>
  </si>
  <si>
    <t>აფოგატო</t>
  </si>
  <si>
    <t>მაჩა აფოგატო</t>
  </si>
  <si>
    <t>ცივი მაჩა მარწყვით</t>
  </si>
  <si>
    <t>ცივი მაჩა მოცვით</t>
  </si>
  <si>
    <t>ცივი მაჩა მანგოთი და ქოქოსით</t>
  </si>
  <si>
    <t>ჩაის არჩევანი</t>
  </si>
  <si>
    <t>ცივი შავი ჩაი ატმით</t>
  </si>
  <si>
    <t>ცივი მწვანე ჩაი მანგოთი</t>
  </si>
  <si>
    <t>მსხლის და ალოეს ლიმონათი</t>
  </si>
  <si>
    <t>მანგოს და ჩილის ლიმონათი</t>
  </si>
  <si>
    <t>კიტრის და პიტნის ლიმონათი</t>
  </si>
  <si>
    <t>ციტრუსების ბაღის ლიმონათი</t>
  </si>
  <si>
    <t>აპეროლ სპრიცი</t>
  </si>
  <si>
    <t>ალოეს სასმელი ჭიქაში</t>
  </si>
  <si>
    <t>ქარვის ატამი</t>
  </si>
  <si>
    <t>ბოტანიკური ნისლი</t>
  </si>
  <si>
    <t>ფლორის ბზინვა</t>
  </si>
  <si>
    <t>მანგოს ვარდი</t>
  </si>
  <si>
    <t>Апероль, просекко, содовая</t>
  </si>
  <si>
    <t>Джин, кордиал алое</t>
  </si>
  <si>
    <t>Белый и темный ром, кордиал персик</t>
  </si>
  <si>
    <t>Джин, кордиал алое и персик, тоник</t>
  </si>
  <si>
    <t>Водка, апероль, кордиал банан</t>
  </si>
  <si>
    <t>Джин, просекко, кордиал манго</t>
  </si>
  <si>
    <t>აპეროლი, პროსეკო, სოდა</t>
  </si>
  <si>
    <t>Aperol, Prosecco, soda water</t>
  </si>
  <si>
    <t>Gin, aloe cordial</t>
  </si>
  <si>
    <t>ჯინი, ალოეს კორდიალი</t>
  </si>
  <si>
    <t>თეთრი და მუქი რომი, ატმის კორდიალი</t>
  </si>
  <si>
    <t>White and dark rum, peach cordial</t>
  </si>
  <si>
    <t>Gin, aloe and peach cordial, tonic water</t>
  </si>
  <si>
    <t>ჯინი, ალოეს და ატმის კორდიალი, ტონიკი</t>
  </si>
  <si>
    <t>Vodka, Aperol, banana cordial</t>
  </si>
  <si>
    <t>არაყი, აპეროლი, ბანანის კორდიალი</t>
  </si>
  <si>
    <t>Gin, Prosecco, mango cordial</t>
  </si>
  <si>
    <t>ჯინი, პროსეკო, მანგოს კორდიალი</t>
  </si>
  <si>
    <t>Сливочное мороженое с горячей матча</t>
  </si>
  <si>
    <t>Creamy ice cream with hot matcha</t>
  </si>
  <si>
    <t>ნაღების ნაყინი ცხელი მაჩათი</t>
  </si>
  <si>
    <t>Сливочное мороженое с горячим эспрессо</t>
  </si>
  <si>
    <t>Creamy ice cream with hot espresso</t>
  </si>
  <si>
    <t>ნაღების ნაყინი ცხელი ესპრესოთი</t>
  </si>
  <si>
    <t>Ароматный пряный чай с молоком и специями</t>
  </si>
  <si>
    <t>Aromatic spiced tea with milk and spices</t>
  </si>
  <si>
    <t>არომატული სანელებლიანი ჩაი რძით და სანელებლებით</t>
  </si>
  <si>
    <t>Baileys mocha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</si>
</sst>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  <font>
      <sz val="13"/>
      <color rgb="FF1F1F1F"/>
      <name val="Helvetica Neue"/>
      <family val="2"/>
    </font>
    <font>
      <sz val="14"/>
      <color rgb="FF1F1F1F"/>
      <name val="Calibri"/>
      <family val="2"/>
      <scheme val="minor"/>
    </font>
    <font>
      <sz val="12"/>
      <color rgb="FF1F1F1F"/>
      <name val="Helvetica"/>
      <family val="2"/>
    </font>
    <font>
      <sz val="14"/>
      <color theme="1"/>
      <name val="Calibri Light"/>
      <family val="2"/>
      <scheme val="major"/>
    </font>
    <font>
      <sz val="12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1" fillId="0" borderId="0" xfId="0" applyFont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90</v>
      </c>
      <c r="B5" s="10" t="s">
        <v>91</v>
      </c>
      <c r="C5" s="10" t="s">
        <v>91</v>
      </c>
    </row>
    <row r="6" spans="1:3" ht="16">
      <c r="A6" s="10" t="s">
        <v>11</v>
      </c>
      <c r="B6" s="10" t="s">
        <v>12</v>
      </c>
      <c r="C6" s="10" t="s">
        <v>63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G22" sqref="G22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66</v>
      </c>
      <c r="J2" s="16" t="s">
        <v>65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67</v>
      </c>
      <c r="J3" s="16" t="s">
        <v>68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47</v>
      </c>
      <c r="E4" s="37" t="s">
        <v>92</v>
      </c>
      <c r="G4" s="16"/>
      <c r="I4" s="16" t="s">
        <v>69</v>
      </c>
      <c r="J4" s="16" t="s">
        <v>70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71</v>
      </c>
      <c r="J5" s="16" t="s">
        <v>72</v>
      </c>
    </row>
    <row r="6" spans="1:13" s="9" customFormat="1">
      <c r="A6" s="9" t="s">
        <v>140</v>
      </c>
      <c r="B6" s="16" t="s">
        <v>146</v>
      </c>
      <c r="C6" s="9" t="s">
        <v>44</v>
      </c>
      <c r="D6" s="36"/>
      <c r="E6" s="37">
        <v>11</v>
      </c>
      <c r="G6" s="16"/>
      <c r="I6" s="17" t="str">
        <f t="shared" ref="I6" si="0">LOWER($B6)</f>
        <v>latte-ice latte</v>
      </c>
      <c r="J6" s="17" t="str">
        <f t="shared" ref="J6" si="1">LOWER($B6)&amp;"_"&amp;2</f>
        <v>latte-ice latte_2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workbookViewId="0">
      <selection activeCell="D15" sqref="D15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45</v>
      </c>
      <c r="B2" s="9" t="s">
        <v>148</v>
      </c>
      <c r="C2" s="9" t="s">
        <v>46</v>
      </c>
      <c r="D2" s="35" t="s">
        <v>47</v>
      </c>
      <c r="E2" s="33" t="s">
        <v>93</v>
      </c>
      <c r="I2" s="9" t="str">
        <f>LOWER($B2)</f>
        <v xml:space="preserve">filter coffee  </v>
      </c>
      <c r="J2" s="9" t="str">
        <f>LOWER($B2)&amp;"_"&amp;2</f>
        <v>filter coffee  _2</v>
      </c>
    </row>
    <row r="3" spans="1:27" s="9" customFormat="1">
      <c r="A3" s="9" t="s">
        <v>48</v>
      </c>
      <c r="B3" s="9" t="s">
        <v>48</v>
      </c>
      <c r="C3" s="9" t="s">
        <v>48</v>
      </c>
      <c r="D3" s="35"/>
      <c r="E3" s="33" t="s">
        <v>92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49</v>
      </c>
      <c r="B4" s="9" t="s">
        <v>50</v>
      </c>
      <c r="C4" s="9" t="s">
        <v>51</v>
      </c>
      <c r="D4" s="35"/>
      <c r="E4" s="33">
        <v>13</v>
      </c>
      <c r="I4" s="9" t="s">
        <v>73</v>
      </c>
      <c r="J4" s="9" t="s">
        <v>74</v>
      </c>
    </row>
    <row r="5" spans="1:27" s="9" customFormat="1">
      <c r="A5" s="9" t="s">
        <v>52</v>
      </c>
      <c r="B5" s="9" t="s">
        <v>53</v>
      </c>
      <c r="C5" s="9" t="s">
        <v>54</v>
      </c>
      <c r="D5" s="35"/>
      <c r="E5" s="33">
        <v>10</v>
      </c>
      <c r="I5" s="9" t="s">
        <v>75</v>
      </c>
      <c r="J5" s="9" t="s">
        <v>76</v>
      </c>
    </row>
    <row r="6" spans="1:27" s="9" customFormat="1" ht="19">
      <c r="A6" s="16" t="s">
        <v>94</v>
      </c>
      <c r="B6" s="16" t="s">
        <v>198</v>
      </c>
      <c r="C6" s="56" t="s">
        <v>150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137</v>
      </c>
      <c r="B7" s="29" t="s">
        <v>138</v>
      </c>
      <c r="C7" s="56" t="s">
        <v>151</v>
      </c>
      <c r="D7" s="30"/>
      <c r="E7" s="31" t="s">
        <v>139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E17" sqref="E17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9">
      <c r="A2" s="23" t="s">
        <v>99</v>
      </c>
      <c r="B2" s="24" t="s">
        <v>95</v>
      </c>
      <c r="C2" s="56" t="s">
        <v>153</v>
      </c>
      <c r="D2" s="32"/>
      <c r="E2" s="32">
        <v>10</v>
      </c>
      <c r="F2" s="1" t="s">
        <v>192</v>
      </c>
      <c r="G2" s="1" t="s">
        <v>193</v>
      </c>
      <c r="H2" s="1" t="s">
        <v>194</v>
      </c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96</v>
      </c>
      <c r="B3" s="9" t="s">
        <v>147</v>
      </c>
      <c r="C3" s="27" t="s">
        <v>61</v>
      </c>
      <c r="D3" s="33"/>
      <c r="E3" s="33">
        <v>13</v>
      </c>
      <c r="F3" s="9"/>
      <c r="G3" s="9"/>
      <c r="H3" s="9"/>
      <c r="I3" s="26" t="str">
        <f t="shared" si="0"/>
        <v>espresso tonic</v>
      </c>
      <c r="J3" s="26" t="str">
        <f t="shared" ref="J3:J5" si="1">LOWER($B3)&amp;"_"&amp;2</f>
        <v>espresso tonic_2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55</v>
      </c>
      <c r="B4" s="9" t="s">
        <v>56</v>
      </c>
      <c r="C4" s="25" t="s">
        <v>62</v>
      </c>
      <c r="D4" s="33">
        <v>250</v>
      </c>
      <c r="E4" s="33">
        <v>15</v>
      </c>
      <c r="F4" s="9"/>
      <c r="G4" s="9"/>
      <c r="H4" s="9"/>
      <c r="I4" s="26" t="s">
        <v>142</v>
      </c>
      <c r="J4" s="26" t="s">
        <v>143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9">
      <c r="A5" s="2" t="s">
        <v>98</v>
      </c>
      <c r="B5" s="2" t="s">
        <v>97</v>
      </c>
      <c r="C5" s="56" t="s">
        <v>152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honeticPr fontId="2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workbookViewId="0">
      <selection activeCell="B11" sqref="B11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104</v>
      </c>
      <c r="B2" s="46" t="s">
        <v>100</v>
      </c>
      <c r="C2" s="1" t="s">
        <v>161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105</v>
      </c>
      <c r="B3" s="46" t="s">
        <v>101</v>
      </c>
      <c r="C3" s="1" t="s">
        <v>162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106</v>
      </c>
      <c r="B4" s="46" t="s">
        <v>102</v>
      </c>
      <c r="C4" s="1" t="s">
        <v>163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107</v>
      </c>
      <c r="B5" s="46" t="s">
        <v>103</v>
      </c>
      <c r="C5" s="1" t="s">
        <v>164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workbookViewId="0">
      <selection activeCell="G10" sqref="G10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118</v>
      </c>
      <c r="B2" s="24" t="s">
        <v>145</v>
      </c>
      <c r="C2" s="9" t="s">
        <v>64</v>
      </c>
      <c r="D2" s="32"/>
      <c r="E2" s="32">
        <v>10</v>
      </c>
      <c r="F2" s="23"/>
      <c r="G2" s="24"/>
      <c r="H2" s="9"/>
      <c r="I2" s="26" t="str">
        <f t="shared" ref="I2:I7" si="0">LOWER($B2)</f>
        <v>matcha latte-ice matcha latte</v>
      </c>
      <c r="J2" s="26" t="str">
        <f t="shared" ref="J2:J7" si="1">LOWER($B2)&amp;"_"&amp;2</f>
        <v>matcha latte-ice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117</v>
      </c>
      <c r="B3" s="25" t="s">
        <v>110</v>
      </c>
      <c r="C3" s="25" t="s">
        <v>57</v>
      </c>
      <c r="D3" s="32">
        <v>250</v>
      </c>
      <c r="E3" s="32">
        <v>15</v>
      </c>
      <c r="G3" s="24"/>
      <c r="H3" s="9"/>
      <c r="I3" s="25" t="s">
        <v>141</v>
      </c>
      <c r="J3" s="25" t="s">
        <v>144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9">
      <c r="A4" s="23" t="s">
        <v>116</v>
      </c>
      <c r="B4" s="25" t="s">
        <v>109</v>
      </c>
      <c r="C4" s="14" t="s">
        <v>154</v>
      </c>
      <c r="D4" s="32"/>
      <c r="E4" s="32">
        <v>10</v>
      </c>
      <c r="F4" s="1" t="s">
        <v>189</v>
      </c>
      <c r="G4" s="1" t="s">
        <v>190</v>
      </c>
      <c r="H4" s="1" t="s">
        <v>191</v>
      </c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9">
      <c r="A5" s="23" t="s">
        <v>115</v>
      </c>
      <c r="B5" s="23" t="s">
        <v>108</v>
      </c>
      <c r="C5" s="56" t="s">
        <v>155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9">
      <c r="A6" s="23" t="s">
        <v>114</v>
      </c>
      <c r="B6" s="23" t="s">
        <v>111</v>
      </c>
      <c r="C6" s="14" t="s">
        <v>156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113</v>
      </c>
      <c r="B7" s="23" t="s">
        <v>112</v>
      </c>
      <c r="C7" s="56" t="s">
        <v>157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workbookViewId="0">
      <selection activeCell="C36" sqref="C36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123</v>
      </c>
      <c r="B2" s="1" t="s">
        <v>122</v>
      </c>
      <c r="C2" s="57" t="s">
        <v>158</v>
      </c>
      <c r="D2" s="41"/>
      <c r="E2" s="41" t="s">
        <v>119</v>
      </c>
      <c r="F2" s="1" t="s">
        <v>121</v>
      </c>
      <c r="G2" s="1" t="s">
        <v>124</v>
      </c>
      <c r="H2" s="1" t="s">
        <v>124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120</v>
      </c>
      <c r="B3" s="40" t="s">
        <v>149</v>
      </c>
      <c r="C3" s="25" t="s">
        <v>58</v>
      </c>
      <c r="D3" s="42"/>
      <c r="E3" s="41">
        <v>10</v>
      </c>
      <c r="F3" s="1" t="s">
        <v>195</v>
      </c>
      <c r="G3" s="1" t="s">
        <v>196</v>
      </c>
      <c r="H3" s="1" t="s">
        <v>197</v>
      </c>
      <c r="I3" s="9" t="str">
        <f t="shared" ref="I3:I5" si="0">LOWER($B3)</f>
        <v xml:space="preserve">masala </v>
      </c>
      <c r="J3" s="9" t="str">
        <f t="shared" ref="J3:J5" si="1">LOWER($B3)&amp;"_"&amp;2</f>
        <v>masala 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127</v>
      </c>
      <c r="B4" s="1" t="s">
        <v>125</v>
      </c>
      <c r="C4" s="57" t="s">
        <v>159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128</v>
      </c>
      <c r="B5" s="1" t="s">
        <v>126</v>
      </c>
      <c r="C5" s="57" t="s">
        <v>160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53"/>
      <c r="B6" s="54"/>
      <c r="C6" s="53"/>
      <c r="D6" s="54"/>
      <c r="E6" s="53"/>
      <c r="F6" s="53"/>
      <c r="G6" s="53"/>
      <c r="H6" s="55"/>
      <c r="I6" s="9"/>
      <c r="J6" s="9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54"/>
      <c r="B7" s="53"/>
      <c r="C7" s="54"/>
      <c r="D7" s="54"/>
      <c r="E7" s="53"/>
      <c r="F7" s="53"/>
      <c r="G7" s="53"/>
      <c r="H7" s="55"/>
      <c r="I7" s="9"/>
      <c r="J7" s="9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54"/>
      <c r="B8" s="53"/>
      <c r="C8" s="54"/>
      <c r="D8" s="54"/>
      <c r="E8" s="53"/>
      <c r="F8" s="53"/>
      <c r="G8" s="53"/>
      <c r="H8" s="55"/>
      <c r="I8" s="55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53"/>
      <c r="B17" s="54"/>
      <c r="C17" s="53"/>
      <c r="D17" s="54"/>
      <c r="E17" s="53"/>
      <c r="F17" s="53"/>
      <c r="G17" s="53"/>
      <c r="H17" s="55"/>
      <c r="I17" s="55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54"/>
      <c r="B18" s="53"/>
      <c r="C18" s="54"/>
      <c r="D18" s="54"/>
      <c r="E18" s="53"/>
      <c r="F18" s="53"/>
      <c r="G18" s="53"/>
      <c r="H18" s="55"/>
      <c r="I18" s="55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tabSelected="1" topLeftCell="B1" workbookViewId="0">
      <selection activeCell="C19" sqref="C19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60</v>
      </c>
      <c r="B2" s="43" t="s">
        <v>60</v>
      </c>
      <c r="C2" s="43" t="s">
        <v>60</v>
      </c>
      <c r="D2" s="44"/>
      <c r="E2" s="45" t="s">
        <v>129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77</v>
      </c>
      <c r="B3" s="46" t="s">
        <v>77</v>
      </c>
      <c r="C3" s="46" t="s">
        <v>77</v>
      </c>
      <c r="D3" s="47">
        <v>750</v>
      </c>
      <c r="E3" s="47">
        <v>80</v>
      </c>
      <c r="F3" s="46" t="s">
        <v>83</v>
      </c>
      <c r="G3" s="46" t="s">
        <v>83</v>
      </c>
      <c r="H3" s="46" t="s">
        <v>83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79</v>
      </c>
      <c r="B4" s="46" t="s">
        <v>79</v>
      </c>
      <c r="C4" s="46" t="s">
        <v>79</v>
      </c>
      <c r="D4" s="47"/>
      <c r="E4" s="48" t="s">
        <v>129</v>
      </c>
      <c r="F4" s="46" t="s">
        <v>81</v>
      </c>
      <c r="G4" s="46" t="s">
        <v>81</v>
      </c>
      <c r="H4" s="46" t="s">
        <v>81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80</v>
      </c>
      <c r="B5" s="46" t="s">
        <v>80</v>
      </c>
      <c r="C5" s="46" t="s">
        <v>80</v>
      </c>
      <c r="D5" s="47"/>
      <c r="E5" s="47" t="s">
        <v>78</v>
      </c>
      <c r="F5" s="46" t="s">
        <v>81</v>
      </c>
      <c r="G5" s="46" t="s">
        <v>81</v>
      </c>
      <c r="H5" s="46" t="s">
        <v>81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59</v>
      </c>
      <c r="B6" s="46" t="s">
        <v>59</v>
      </c>
      <c r="C6" s="46" t="s">
        <v>59</v>
      </c>
      <c r="D6" s="47"/>
      <c r="E6" s="47" t="s">
        <v>130</v>
      </c>
      <c r="F6" s="46" t="s">
        <v>81</v>
      </c>
      <c r="G6" s="46" t="s">
        <v>81</v>
      </c>
      <c r="H6" s="46" t="s">
        <v>81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84</v>
      </c>
      <c r="B7" s="46" t="s">
        <v>84</v>
      </c>
      <c r="C7" s="46" t="s">
        <v>84</v>
      </c>
      <c r="D7" s="47"/>
      <c r="E7" s="47" t="s">
        <v>131</v>
      </c>
      <c r="F7" s="46" t="s">
        <v>82</v>
      </c>
      <c r="G7" s="46" t="s">
        <v>82</v>
      </c>
      <c r="H7" s="46" t="s">
        <v>82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85</v>
      </c>
      <c r="B8" s="46" t="s">
        <v>85</v>
      </c>
      <c r="C8" s="46" t="s">
        <v>85</v>
      </c>
      <c r="D8" s="47"/>
      <c r="E8" s="47" t="s">
        <v>78</v>
      </c>
      <c r="F8" s="46" t="s">
        <v>86</v>
      </c>
      <c r="G8" s="46" t="s">
        <v>86</v>
      </c>
      <c r="H8" s="46" t="s">
        <v>86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87</v>
      </c>
      <c r="B9" s="46" t="s">
        <v>87</v>
      </c>
      <c r="C9" s="46" t="s">
        <v>87</v>
      </c>
      <c r="D9" s="47"/>
      <c r="E9" s="47" t="s">
        <v>78</v>
      </c>
      <c r="F9" s="46" t="s">
        <v>88</v>
      </c>
      <c r="G9" s="46" t="s">
        <v>88</v>
      </c>
      <c r="H9" s="46" t="s">
        <v>88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topLeftCell="A4" workbookViewId="0">
      <selection activeCell="F16" sqref="F16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6" max="6" width="17.6640625" customWidth="1"/>
    <col min="7" max="7" width="17.83203125" customWidth="1"/>
    <col min="8" max="8" width="18.664062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89</v>
      </c>
      <c r="B2" s="50" t="s">
        <v>89</v>
      </c>
      <c r="C2" s="1" t="s">
        <v>165</v>
      </c>
      <c r="D2" s="44"/>
      <c r="E2" s="44">
        <v>25</v>
      </c>
      <c r="F2" s="49" t="s">
        <v>171</v>
      </c>
      <c r="G2" s="1" t="s">
        <v>178</v>
      </c>
      <c r="H2" s="1" t="s">
        <v>177</v>
      </c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132</v>
      </c>
      <c r="B3" s="52" t="s">
        <v>132</v>
      </c>
      <c r="C3" s="1" t="s">
        <v>166</v>
      </c>
      <c r="D3" s="44"/>
      <c r="E3" s="44">
        <v>25</v>
      </c>
      <c r="F3" s="49" t="s">
        <v>172</v>
      </c>
      <c r="G3" s="58" t="s">
        <v>179</v>
      </c>
      <c r="H3" s="58" t="s">
        <v>180</v>
      </c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133</v>
      </c>
      <c r="B4" s="52" t="s">
        <v>133</v>
      </c>
      <c r="C4" s="1" t="s">
        <v>167</v>
      </c>
      <c r="D4" s="44"/>
      <c r="E4" s="44">
        <v>30</v>
      </c>
      <c r="F4" s="49" t="s">
        <v>173</v>
      </c>
      <c r="G4" s="1" t="s">
        <v>182</v>
      </c>
      <c r="H4" s="1" t="s">
        <v>181</v>
      </c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134</v>
      </c>
      <c r="B5" s="52" t="s">
        <v>134</v>
      </c>
      <c r="C5" s="1" t="s">
        <v>168</v>
      </c>
      <c r="D5" s="44"/>
      <c r="E5" s="44">
        <v>25</v>
      </c>
      <c r="F5" s="49" t="s">
        <v>174</v>
      </c>
      <c r="G5" s="1" t="s">
        <v>183</v>
      </c>
      <c r="H5" s="1" t="s">
        <v>184</v>
      </c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135</v>
      </c>
      <c r="B6" s="52" t="s">
        <v>135</v>
      </c>
      <c r="C6" s="1" t="s">
        <v>169</v>
      </c>
      <c r="D6" s="44"/>
      <c r="E6" s="44">
        <v>25</v>
      </c>
      <c r="F6" s="49" t="s">
        <v>175</v>
      </c>
      <c r="G6" s="1" t="s">
        <v>185</v>
      </c>
      <c r="H6" s="1" t="s">
        <v>186</v>
      </c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136</v>
      </c>
      <c r="B7" s="52" t="s">
        <v>136</v>
      </c>
      <c r="C7" s="1" t="s">
        <v>170</v>
      </c>
      <c r="D7" s="51"/>
      <c r="E7" s="44">
        <v>30</v>
      </c>
      <c r="F7" s="23" t="s">
        <v>176</v>
      </c>
      <c r="G7" s="1" t="s">
        <v>187</v>
      </c>
      <c r="H7" s="1" t="s">
        <v>188</v>
      </c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2026-04-20T14:47:47Z</dcterms:modified>
</cp:coreProperties>
</file>