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38B5D9A8-2B8C-5B4C-ADDB-F21458FE9A1B}" xr6:coauthVersionLast="47" xr6:coauthVersionMax="47" xr10:uidLastSave="{00000000-0000-0000-0000-000000000000}"/>
  <bookViews>
    <workbookView xWindow="280" yWindow="500" windowWidth="20820" windowHeight="16420" activeTab="2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matcha" sheetId="5" r:id="rId5"/>
    <sheet name="tea" sheetId="6" r:id="rId6"/>
    <sheet name="wine card" sheetId="7" r:id="rId7"/>
    <sheet name="cocktail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" l="1"/>
  <c r="I5" i="7"/>
  <c r="J7" i="5"/>
  <c r="I7" i="5"/>
  <c r="J11" i="3"/>
  <c r="I11" i="3"/>
  <c r="J10" i="3"/>
  <c r="I10" i="3"/>
  <c r="J3" i="8"/>
  <c r="J4" i="8"/>
  <c r="J5" i="8"/>
  <c r="J6" i="8"/>
  <c r="I3" i="8"/>
  <c r="I4" i="8"/>
  <c r="I5" i="8"/>
  <c r="I6" i="8"/>
  <c r="J2" i="8"/>
  <c r="I2" i="8"/>
  <c r="I10" i="7"/>
  <c r="J9" i="7"/>
  <c r="J10" i="7"/>
  <c r="J3" i="7"/>
  <c r="J4" i="7"/>
  <c r="J5" i="7"/>
  <c r="J6" i="7"/>
  <c r="J7" i="7"/>
  <c r="J8" i="7"/>
  <c r="I3" i="7"/>
  <c r="I4" i="7"/>
  <c r="I7" i="7"/>
  <c r="I8" i="7"/>
  <c r="I9" i="7"/>
  <c r="J2" i="7"/>
  <c r="I2" i="7"/>
  <c r="J2" i="5"/>
  <c r="I2" i="5"/>
  <c r="J3" i="3"/>
  <c r="I3" i="3"/>
  <c r="J2" i="3"/>
  <c r="J2" i="4"/>
  <c r="I2" i="3"/>
  <c r="I5" i="5"/>
  <c r="I6" i="3"/>
  <c r="J6" i="3"/>
  <c r="I7" i="3"/>
  <c r="J7" i="3"/>
  <c r="I8" i="3"/>
  <c r="J8" i="3"/>
  <c r="I9" i="3"/>
  <c r="J9" i="3"/>
  <c r="I2" i="4"/>
  <c r="I3" i="4"/>
  <c r="J3" i="4"/>
  <c r="I4" i="4"/>
  <c r="J4" i="4"/>
  <c r="I5" i="4"/>
  <c r="J5" i="4"/>
  <c r="I6" i="4"/>
  <c r="J6" i="4"/>
  <c r="I7" i="4"/>
  <c r="J7" i="4"/>
  <c r="I8" i="4"/>
  <c r="J8" i="4"/>
  <c r="I9" i="4"/>
  <c r="J9" i="4"/>
  <c r="I3" i="5"/>
  <c r="J3" i="5"/>
  <c r="I4" i="5"/>
  <c r="J4" i="5"/>
  <c r="J5" i="5"/>
  <c r="I6" i="5"/>
  <c r="J6" i="5"/>
  <c r="I2" i="6"/>
  <c r="J2" i="6"/>
  <c r="I3" i="6"/>
  <c r="J3" i="6"/>
  <c r="I4" i="6"/>
  <c r="J7" i="6"/>
  <c r="I7" i="6"/>
  <c r="J6" i="6"/>
  <c r="I6" i="6"/>
  <c r="J5" i="6"/>
  <c r="I5" i="6"/>
  <c r="J4" i="6"/>
</calcChain>
</file>

<file path=xl/sharedStrings.xml><?xml version="1.0" encoding="utf-8"?>
<sst xmlns="http://schemas.openxmlformats.org/spreadsheetml/2006/main" count="399" uniqueCount="263">
  <si>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</si>
  <si>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</si>
  <si>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</si>
  <si>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</si>
  <si>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</si>
  <si>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</si>
  <si>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</si>
  <si>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</si>
  <si>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</si>
  <si>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</si>
  <si>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</si>
  <si>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ცივი სასმელები (ყინულით)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</si>
  <si>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</si>
  <si>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</si>
  <si>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</si>
  <si>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</si>
  <si>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</si>
  <si>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</si>
  <si>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</si>
  <si>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</si>
  <si>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</si>
  <si>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</si>
  <si>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</si>
  <si>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</si>
  <si>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</si>
  <si>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</si>
  <si>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</si>
  <si>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</si>
  <si>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</si>
  <si>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</si>
  <si>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</si>
  <si>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</si>
  <si>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</si>
  <si>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</si>
  <si>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</si>
  <si>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</si>
  <si>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60</t>
  </si>
  <si>
    <t>Американо</t>
  </si>
  <si>
    <t>Americano</t>
  </si>
  <si>
    <t>ამერიკანო</t>
  </si>
  <si>
    <t>250</t>
  </si>
  <si>
    <t>Эспрессо с добавлением горячей воды</t>
  </si>
  <si>
    <t>Espresso with the addition of hot water</t>
  </si>
  <si>
    <t>ესპრესო ცხელი წყლის დამატებით</t>
  </si>
  <si>
    <t>Капучино</t>
  </si>
  <si>
    <t>Cappuccino</t>
  </si>
  <si>
    <t>კაპუჩინო</t>
  </si>
  <si>
    <t>250/350</t>
  </si>
  <si>
    <t>Кофейный напиток, в котором гармонично сочетаются эспрессо и молоко</t>
  </si>
  <si>
    <t>A coffee drink that harmoniously combines espresso and milk</t>
  </si>
  <si>
    <t>ყავის სასმელი, რომელიც ჰარმონიულად აერთიანებს ესპრესოს და რძეს</t>
  </si>
  <si>
    <t>Флэт Уайт</t>
  </si>
  <si>
    <t>Flat white</t>
  </si>
  <si>
    <t>ფლეთ ვაითი</t>
  </si>
  <si>
    <t>9</t>
  </si>
  <si>
    <t>Крепкий и в то же время нежный австралийский напиток, двойной эспрессо с добавлением молока</t>
  </si>
  <si>
    <t>A strong and at the same time gentle Australian drink, double espresso with added milk</t>
  </si>
  <si>
    <t>ძლიერი და ამავე დროს ნაზი ავსტრალიური სასმელი, ორმაგი ესპრესო დამატებული რძით</t>
  </si>
  <si>
    <t>Латте</t>
  </si>
  <si>
    <t>Latte</t>
  </si>
  <si>
    <t>ლატე</t>
  </si>
  <si>
    <t>350</t>
  </si>
  <si>
    <t>10</t>
  </si>
  <si>
    <t>Самый молочный кофейный напиток на основе эспрессо</t>
  </si>
  <si>
    <t>The milkiest espresso-based coffee drink</t>
  </si>
  <si>
    <t>ყველაზე რძიანი სასმელი დამზადებული ესპრესოზე</t>
  </si>
  <si>
    <t>Фильтр кофе</t>
  </si>
  <si>
    <t>filter coffee</t>
  </si>
  <si>
    <t>ფილტრ ყავა</t>
  </si>
  <si>
    <t>200/300</t>
  </si>
  <si>
    <t>7/9</t>
  </si>
  <si>
    <t>Черный питкий(сочный, полнотелый) кофе</t>
  </si>
  <si>
    <t>Black, nutritious (juicy, full-bodied) coffee</t>
  </si>
  <si>
    <t>შავი, მკვებავი (წვნიანი, სავსე) ყავა</t>
  </si>
  <si>
    <t>V60</t>
  </si>
  <si>
    <t>Метод приготовления кофе, предполагает процесс пролива горячей воды через молотый кофе. Чистый, насыщенный и многогранный вкус кофе</t>
  </si>
  <si>
    <t>The method of making coffee involves the process of pouring hot water through ground coffee. The pure, rich and multifaceted taste of coffee</t>
  </si>
  <si>
    <t>ყავის მომზადების მეთოდი გულისხმობს დაფქულ ყავაში ცხელი წყლის ჩამოსხმის პროცესს. ყავის სუფთა, მდიდარი და მრავალმხრივი გემო</t>
  </si>
  <si>
    <t>Раф</t>
  </si>
  <si>
    <t>Raf</t>
  </si>
  <si>
    <t>რაფი</t>
  </si>
  <si>
    <t>Нежный сливочный напиток со вкусом по выбору гостя. Для истинных ценителей изысканного вкуса и умеренной сладости.</t>
  </si>
  <si>
    <t>A delicate creamy drink with a taste of the Guest's choice. For true connoisseurs of refined flavors and moderate sweetness.</t>
  </si>
  <si>
    <t>ნაზი კრემისებური სასმელი თქევმ მიერ არჩეული გემოთი. დახვეწილი გემოსა და ზომიერი სიტკბოს ნამდვილი მცოდნეებისთვის.</t>
  </si>
  <si>
    <t>Какао</t>
  </si>
  <si>
    <t>Cocoa</t>
  </si>
  <si>
    <t>კაკაო</t>
  </si>
  <si>
    <t>Согревающий ароматный напиток на основе какао-порошка.</t>
  </si>
  <si>
    <t>A warming aromatic drink based on cocoa powder.</t>
  </si>
  <si>
    <t>გამათბობელი არომატული სასმელი, რომელიც დაფუძნებულია კაკაოს ფხვნილზე.</t>
  </si>
  <si>
    <t>Cырный раф</t>
  </si>
  <si>
    <t>cheese raf</t>
  </si>
  <si>
    <t>кофе "бейлис"</t>
  </si>
  <si>
    <t>baileys coffee</t>
  </si>
  <si>
    <t>ბეილისის ყავა</t>
  </si>
  <si>
    <t>15</t>
  </si>
  <si>
    <t>айриш крим</t>
  </si>
  <si>
    <t>irish cream</t>
  </si>
  <si>
    <t>ირლანდიური კრემი</t>
  </si>
  <si>
    <t>капучино с коньяком</t>
  </si>
  <si>
    <t>cognac cappuccino</t>
  </si>
  <si>
    <t>კონიაკი კაპუჩინო</t>
  </si>
  <si>
    <t>Глясе</t>
  </si>
  <si>
    <t>Glasse</t>
  </si>
  <si>
    <t>გლასე</t>
  </si>
  <si>
    <t>150</t>
  </si>
  <si>
    <t>Всеми любимый кофейный напиток на основе доппио с добавлением шарика мороженого</t>
  </si>
  <si>
    <t>Everyone's favorite type of dopio-based coffee drink with the addition of an ice cream ball</t>
  </si>
  <si>
    <t>ყველასთვის საყვარელი დოპიოზე დაფუძნებული ყავის სასმელი ნაყინის ბურთის დამატებით</t>
  </si>
  <si>
    <t>Колд Брю</t>
  </si>
  <si>
    <t>Cold brew creamy</t>
  </si>
  <si>
    <t>ცივი მოხარშული კრემისებრი</t>
  </si>
  <si>
    <t>Кофе холодного отжима с шариком ванильного мороженого</t>
  </si>
  <si>
    <t>Cold-extracted coffee with a scoop of vanilla ice cream</t>
  </si>
  <si>
    <t>ცივი მოპოვებული ყავა ვანილის ნაყინის კოვზით</t>
  </si>
  <si>
    <t>Эспрессо-тоник классический</t>
  </si>
  <si>
    <t>Espresso tonic classic</t>
  </si>
  <si>
    <t>Новый вид холодного напитка со знакомым сладким вкусом и грузинским колоритом</t>
  </si>
  <si>
    <t>A new kind of cold drink with a familiar sweet taste of Georgian flavor</t>
  </si>
  <si>
    <t>ახალი სახის ცივი სასმელი ქართული გემოს ნაცნობი ტკბილი გემოთი</t>
  </si>
  <si>
    <t>Бамбл</t>
  </si>
  <si>
    <t>Bumble</t>
  </si>
  <si>
    <t>Освежающий летний напиток, в котором яркая цитрусовая свежесть оттеняется сладостью карамели в сочетании с кофе</t>
  </si>
  <si>
    <t>A refreshing summer drink in which the bright citrus freshness is set off by the sweetness of caramel combined with coffee</t>
  </si>
  <si>
    <t>გამაგრილებელი საზაფხულო სასმელი, რომელშიც ციტრუსის კაშკაშა სიახლეს განაპირობებს კარამელის სიტკბო ყავასთან ერთად</t>
  </si>
  <si>
    <t>Лимонад грузинский</t>
  </si>
  <si>
    <t>Lemonade georgian</t>
  </si>
  <si>
    <t>ლიმონათი ქართული</t>
  </si>
  <si>
    <t>Кисло-сладкий газированный напиток с грейпфрутом и бузиной</t>
  </si>
  <si>
    <t>Sweet and sour carbonated drink with grapefruit and elderberry</t>
  </si>
  <si>
    <t>ტკბილი და მჟავე გაზიანი სასმელი გრეიფრუტით და ბაბუით</t>
  </si>
  <si>
    <t>Лимонад деревенский</t>
  </si>
  <si>
    <t>Lemonade village</t>
  </si>
  <si>
    <t>ლიმონათი სოფელი</t>
  </si>
  <si>
    <t>Освежающий умеренно сладкий газированный напиток с послевкусием малины и базилика</t>
  </si>
  <si>
    <t>Refreshing moderately sweet carbonated drink with raspberry and basil aftertaste</t>
  </si>
  <si>
    <t>გამაგრილებელი ზომიერად ტკბილი გაზიანი სასმელი ჟოლოსა და რეჰანის გემოთი</t>
  </si>
  <si>
    <t>Лимонад клубничный</t>
  </si>
  <si>
    <t>Lemonade strawberry</t>
  </si>
  <si>
    <t>ლიმონათი მარწყვის</t>
  </si>
  <si>
    <t>Умеренно сладкий клубничный газированный напиток с послевкусием лайма</t>
  </si>
  <si>
    <t>A moderately sweet strawberry carbonated drink with a lime aftertaste</t>
  </si>
  <si>
    <t>ზომიერად ტკბილი მარწყვის გაზიანი სასმელი ცაცხვის გემოთი</t>
  </si>
  <si>
    <t>Лимонад тропический</t>
  </si>
  <si>
    <t>Lemonade tropical</t>
  </si>
  <si>
    <t>ლიმონათი ტროპიკული</t>
  </si>
  <si>
    <t>Умеренно сладкий газированный напиток со вкусом манго и маракуйи для любителей "экзотики"</t>
  </si>
  <si>
    <t>Sweet and sour carbonated drink with Mango and Passion Fruit flavor for lovers of "exotic"</t>
  </si>
  <si>
    <t>ტკბილი და მჟავე გაზიანი სასმელი მანგოს და ვნების ხილის არომატით "ეგზოტიკის" მოყვარულთათვის</t>
  </si>
  <si>
    <t>Уникальный тонизирующий напиток с молочно-травяным вкусом. Холодный матча - холодный вариант тонизирующего напитка с молочно-травяным вкусом.</t>
  </si>
  <si>
    <t>A unique tonic drink with a milky herbal flavor. Ice of the Match . A cold version of a tonic drink with a milky herbal flavor.</t>
  </si>
  <si>
    <t>უნიკალური მატონიზირებელი სასმელი რძის მცენარეული არომატით. მატჩის ყინული. მატონიზირებელი სასმელის ცივი ვერსია რძის მცენარეული არომატით.</t>
  </si>
  <si>
    <t>матча апельсин</t>
  </si>
  <si>
    <t>matcha orange</t>
  </si>
  <si>
    <t>მაჩა ფორთოხლით</t>
  </si>
  <si>
    <t>оазис матча</t>
  </si>
  <si>
    <t>oasis matcha</t>
  </si>
  <si>
    <t>ოაზისი მაჩა</t>
  </si>
  <si>
    <t>зеленая матча в сочетании с банановым молоком и ванильным мороженым, украшенная малиной</t>
  </si>
  <si>
    <t>green matcha combined with banana milk and vanilla ice cream, decorated with raspberries</t>
  </si>
  <si>
    <t>მწვანე მაჩა ბანანის რძესთან და ვანილის ნაყინთან ერთად, ჟოლოთი გაფორმებული</t>
  </si>
  <si>
    <t>экзотик матча</t>
  </si>
  <si>
    <t>exotic matcha</t>
  </si>
  <si>
    <t>ეგზოტიკური მაჩა</t>
  </si>
  <si>
    <t>розовая матча в сочетании с персиковым пюре и кокосовым молоком</t>
  </si>
  <si>
    <t>pink matcha combined with peach puree and coconut milk</t>
  </si>
  <si>
    <t>ვარდისფერი მაჩა ატმის პიურესთან და ქოქოსის რძესთან ერთად</t>
  </si>
  <si>
    <t>матча-колада</t>
  </si>
  <si>
    <t>matcha colada</t>
  </si>
  <si>
    <t>მაჩა კოლადა</t>
  </si>
  <si>
    <t>зеленая матча в сочетании с сиропом ананас,сливками и кокосовым молоком, украшена кокосовой стружкой</t>
  </si>
  <si>
    <t>green matcha combined with pineapple syrup, cream and coconut milk, decorated with coconut chips</t>
  </si>
  <si>
    <t>მწვანე მაჩა ანანასის სიროფთან, კრემთან და ქოქოსის რძესთან ერთად, მორთული ქოქოსის ჩიპებით</t>
  </si>
  <si>
    <t>ассам</t>
  </si>
  <si>
    <t>assam</t>
  </si>
  <si>
    <t>ასამი</t>
  </si>
  <si>
    <t>7</t>
  </si>
  <si>
    <t>ерл грей</t>
  </si>
  <si>
    <t>earl grey</t>
  </si>
  <si>
    <t>ერლ გრეი</t>
  </si>
  <si>
    <t>сенча</t>
  </si>
  <si>
    <t>sencha</t>
  </si>
  <si>
    <t>სენჩა</t>
  </si>
  <si>
    <t>кокосовый улун</t>
  </si>
  <si>
    <t>oolong coconut</t>
  </si>
  <si>
    <t>ოოლონგის კაკალი</t>
  </si>
  <si>
    <t>ку цяо</t>
  </si>
  <si>
    <t>ku qiao</t>
  </si>
  <si>
    <t>კუ ქიაო</t>
  </si>
  <si>
    <t>масала</t>
  </si>
  <si>
    <t>masala</t>
  </si>
  <si>
    <t>მასალა</t>
  </si>
  <si>
    <t>Marlborough Sun Sauvignon Blanc</t>
  </si>
  <si>
    <t>9/11</t>
  </si>
  <si>
    <t>11</t>
  </si>
  <si>
    <t>13</t>
  </si>
  <si>
    <t>16</t>
  </si>
  <si>
    <t>10/13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</si>
  <si>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</si>
  <si>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</si>
  <si>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</si>
  <si>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</si>
  <si>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</si>
  <si>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ყველის რაფი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</si>
  <si>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</si>
  <si>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</si>
  <si>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</si>
  <si>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</si>
  <si>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</si>
  <si>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</si>
  <si>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</si>
  <si>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</si>
  <si>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latte2</t>
  </si>
  <si>
    <t>latte2_2</t>
  </si>
  <si>
    <t>raf2</t>
  </si>
  <si>
    <t>raf2_2</t>
  </si>
  <si>
    <t>cocoa2</t>
  </si>
  <si>
    <t>cocoa_2</t>
  </si>
  <si>
    <t xml:space="preserve">матча </t>
  </si>
  <si>
    <t>12/70</t>
  </si>
  <si>
    <t>Blue Dankey Pet-Nat</t>
  </si>
  <si>
    <t>15/80</t>
  </si>
  <si>
    <t>Majesta rose brut</t>
  </si>
  <si>
    <t>Esteban Martin Chardonnay</t>
  </si>
  <si>
    <t>Marbano kisi</t>
  </si>
  <si>
    <t>Dry white wine</t>
  </si>
  <si>
    <t>Semi sweet white wine</t>
  </si>
  <si>
    <t>Kakhuri Mtsvane brut</t>
  </si>
  <si>
    <t>Sparkling rose brut</t>
  </si>
  <si>
    <t>Queen Tvishi</t>
  </si>
  <si>
    <t>18/105</t>
  </si>
  <si>
    <t>16/90</t>
  </si>
  <si>
    <t>Esteban Martin Garnacha</t>
  </si>
  <si>
    <t xml:space="preserve">Dry red wine Garnacha Syrah tempranillo </t>
  </si>
  <si>
    <t>Kindzmarauli</t>
  </si>
  <si>
    <t>10/55</t>
  </si>
  <si>
    <t>Semi sweet red wine</t>
  </si>
  <si>
    <t>Апероль Шприц</t>
  </si>
  <si>
    <t>Aperol Spritz</t>
  </si>
  <si>
    <t>აპეროლის შპრიცი</t>
  </si>
  <si>
    <t>20</t>
  </si>
  <si>
    <t>Кофейный Шприц</t>
  </si>
  <si>
    <t>Coffee Spritz</t>
  </si>
  <si>
    <t>ყავის შპრიცი</t>
  </si>
  <si>
    <t>Цитрусовый шприц</t>
  </si>
  <si>
    <t>citrus Spritz</t>
  </si>
  <si>
    <t>ციტრუსის შპრიცი</t>
  </si>
  <si>
    <t>Джин тоник грейпфрут бузина</t>
  </si>
  <si>
    <t>grapefruit elder gin &amp; tonic</t>
  </si>
  <si>
    <t>ციტრუსის ჯინი &amp; ტონიკი</t>
  </si>
  <si>
    <t>Беллини</t>
  </si>
  <si>
    <t>bellini</t>
  </si>
  <si>
    <t>ბელინი</t>
  </si>
  <si>
    <t>МонБлан</t>
  </si>
  <si>
    <t>monc blanc</t>
  </si>
  <si>
    <t>მონ ბლან</t>
  </si>
  <si>
    <t>Клюквенный колд брю</t>
  </si>
  <si>
    <t>cold brew cranberry</t>
  </si>
  <si>
    <t>ცივი ყავის ფილტრი შტოშის</t>
  </si>
  <si>
    <t>12</t>
  </si>
  <si>
    <t>Кремовый матча оранж</t>
  </si>
  <si>
    <t>matcha orange creamy</t>
  </si>
  <si>
    <t>ფორთოხლის მატჩა ნაღებით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</si>
</sst>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rgb="FF000000"/>
      <name val="&quot;Helvetica Neue&quot;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49" fontId="11" fillId="0" borderId="0" xfId="0" applyNumberFormat="1" applyFont="1"/>
    <xf numFmtId="0" fontId="6" fillId="0" borderId="0" xfId="0" applyFont="1" applyAlignment="1">
      <alignment horizontal="left"/>
    </xf>
    <xf numFmtId="0" fontId="12" fillId="2" borderId="0" xfId="0" applyFont="1" applyFill="1"/>
    <xf numFmtId="49" fontId="6" fillId="0" borderId="0" xfId="0" applyNumberFormat="1" applyFont="1" applyAlignment="1">
      <alignment horizontal="right"/>
    </xf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49" fontId="17" fillId="0" borderId="0" xfId="0" applyNumberFormat="1" applyFont="1" applyAlignment="1">
      <alignment horizontal="right"/>
    </xf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49" fontId="23" fillId="0" borderId="0" xfId="0" applyNumberFormat="1" applyFont="1"/>
    <xf numFmtId="49" fontId="23" fillId="0" borderId="0" xfId="0" applyNumberFormat="1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9"/>
  <sheetViews>
    <sheetView workbookViewId="0">
      <selection activeCell="B8" sqref="B8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11</v>
      </c>
    </row>
    <row r="5" spans="1:3" ht="16">
      <c r="A5" s="10" t="s">
        <v>12</v>
      </c>
      <c r="B5" s="10" t="s">
        <v>13</v>
      </c>
      <c r="C5" s="10" t="s">
        <v>201</v>
      </c>
    </row>
    <row r="6" spans="1:3" ht="16">
      <c r="A6" s="10" t="s">
        <v>14</v>
      </c>
      <c r="B6" s="10" t="s">
        <v>15</v>
      </c>
      <c r="C6" s="13" t="s">
        <v>16</v>
      </c>
    </row>
    <row r="7" spans="1:3" ht="16">
      <c r="A7" s="10" t="s">
        <v>17</v>
      </c>
      <c r="B7" s="10" t="s">
        <v>18</v>
      </c>
      <c r="C7" s="10" t="s">
        <v>19</v>
      </c>
    </row>
    <row r="8" spans="1:3" ht="16">
      <c r="A8" s="10" t="s">
        <v>20</v>
      </c>
      <c r="B8" s="10" t="s">
        <v>21</v>
      </c>
      <c r="C8" s="10" t="s">
        <v>22</v>
      </c>
    </row>
    <row r="9" spans="1:3" ht="15.75" customHeight="1">
      <c r="A9" s="10"/>
      <c r="B9" s="10"/>
      <c r="C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workbookViewId="0">
      <selection activeCell="I5" sqref="I5"/>
    </sheetView>
  </sheetViews>
  <sheetFormatPr baseColWidth="10" defaultColWidth="12.6640625" defaultRowHeight="16"/>
  <cols>
    <col min="4" max="4" width="7.1640625" customWidth="1"/>
    <col min="5" max="5" width="4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</row>
    <row r="2" spans="1:13" s="9" customFormat="1">
      <c r="A2" s="9" t="s">
        <v>33</v>
      </c>
      <c r="B2" s="16" t="s">
        <v>34</v>
      </c>
      <c r="C2" s="9" t="s">
        <v>35</v>
      </c>
      <c r="D2" s="17" t="s">
        <v>36</v>
      </c>
      <c r="E2" s="17" t="s">
        <v>176</v>
      </c>
      <c r="F2" s="16"/>
      <c r="G2" s="16"/>
      <c r="I2" s="16" t="s">
        <v>205</v>
      </c>
      <c r="J2" s="16" t="s">
        <v>204</v>
      </c>
      <c r="L2" s="19"/>
      <c r="M2" s="19"/>
    </row>
    <row r="3" spans="1:13" s="9" customFormat="1">
      <c r="A3" s="9" t="s">
        <v>37</v>
      </c>
      <c r="B3" s="16" t="s">
        <v>38</v>
      </c>
      <c r="C3" s="9" t="s">
        <v>39</v>
      </c>
      <c r="D3" s="17" t="s">
        <v>40</v>
      </c>
      <c r="E3" s="17" t="s">
        <v>176</v>
      </c>
      <c r="F3" s="9" t="s">
        <v>41</v>
      </c>
      <c r="G3" s="16" t="s">
        <v>42</v>
      </c>
      <c r="H3" s="9" t="s">
        <v>43</v>
      </c>
      <c r="I3" s="16" t="s">
        <v>206</v>
      </c>
      <c r="J3" s="16" t="s">
        <v>207</v>
      </c>
    </row>
    <row r="4" spans="1:13" s="9" customFormat="1">
      <c r="A4" s="9" t="s">
        <v>44</v>
      </c>
      <c r="B4" s="16" t="s">
        <v>45</v>
      </c>
      <c r="C4" s="9" t="s">
        <v>46</v>
      </c>
      <c r="D4" s="17" t="s">
        <v>47</v>
      </c>
      <c r="E4" s="17" t="s">
        <v>193</v>
      </c>
      <c r="F4" s="9" t="s">
        <v>48</v>
      </c>
      <c r="G4" s="16" t="s">
        <v>49</v>
      </c>
      <c r="H4" s="9" t="s">
        <v>50</v>
      </c>
      <c r="I4" s="16" t="s">
        <v>208</v>
      </c>
      <c r="J4" s="16" t="s">
        <v>209</v>
      </c>
    </row>
    <row r="5" spans="1:13" s="9" customFormat="1">
      <c r="A5" s="9" t="s">
        <v>51</v>
      </c>
      <c r="B5" s="16" t="s">
        <v>52</v>
      </c>
      <c r="C5" s="9" t="s">
        <v>53</v>
      </c>
      <c r="D5" s="17" t="s">
        <v>40</v>
      </c>
      <c r="E5" s="17" t="s">
        <v>62</v>
      </c>
      <c r="F5" s="9" t="s">
        <v>55</v>
      </c>
      <c r="G5" s="16" t="s">
        <v>56</v>
      </c>
      <c r="H5" s="9" t="s">
        <v>57</v>
      </c>
      <c r="I5" s="16" t="s">
        <v>210</v>
      </c>
      <c r="J5" s="16" t="s">
        <v>211</v>
      </c>
    </row>
    <row r="6" spans="1:13" s="9" customFormat="1">
      <c r="A6" s="9" t="s">
        <v>58</v>
      </c>
      <c r="B6" s="16" t="s">
        <v>59</v>
      </c>
      <c r="C6" s="9" t="s">
        <v>60</v>
      </c>
      <c r="D6" s="17" t="s">
        <v>61</v>
      </c>
      <c r="E6" s="17" t="s">
        <v>194</v>
      </c>
      <c r="F6" s="9" t="s">
        <v>63</v>
      </c>
      <c r="G6" s="16" t="s">
        <v>64</v>
      </c>
      <c r="H6" s="9" t="s">
        <v>65</v>
      </c>
      <c r="I6" s="16" t="s">
        <v>212</v>
      </c>
      <c r="J6" s="16" t="s">
        <v>213</v>
      </c>
    </row>
    <row r="7" spans="1:13" ht="15.75" customHeight="1">
      <c r="A7" s="1"/>
      <c r="B7" s="3"/>
      <c r="C7" s="2"/>
      <c r="D7" s="4"/>
      <c r="E7" s="4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8"/>
  <sheetViews>
    <sheetView tabSelected="1" workbookViewId="0">
      <selection activeCell="B19" sqref="B19"/>
    </sheetView>
  </sheetViews>
  <sheetFormatPr baseColWidth="10" defaultColWidth="12.6640625" defaultRowHeight="16"/>
  <cols>
    <col min="3" max="3" width="15.33203125" customWidth="1"/>
    <col min="4" max="4" width="7.1640625" customWidth="1"/>
    <col min="5" max="5" width="4.66406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  <c r="K1" s="8"/>
      <c r="L1" s="8"/>
      <c r="M1" s="8"/>
    </row>
    <row r="2" spans="1:27" s="9" customFormat="1">
      <c r="A2" s="9" t="s">
        <v>66</v>
      </c>
      <c r="B2" s="9" t="s">
        <v>67</v>
      </c>
      <c r="C2" s="9" t="s">
        <v>68</v>
      </c>
      <c r="D2" s="20" t="s">
        <v>69</v>
      </c>
      <c r="E2" s="20" t="s">
        <v>70</v>
      </c>
      <c r="F2" s="9" t="s">
        <v>71</v>
      </c>
      <c r="G2" s="9" t="s">
        <v>72</v>
      </c>
      <c r="H2" s="9" t="s">
        <v>73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74</v>
      </c>
      <c r="B3" s="9" t="s">
        <v>74</v>
      </c>
      <c r="C3" s="9" t="s">
        <v>74</v>
      </c>
      <c r="D3" s="20" t="s">
        <v>40</v>
      </c>
      <c r="E3" s="20" t="s">
        <v>54</v>
      </c>
      <c r="F3" s="9" t="s">
        <v>75</v>
      </c>
      <c r="G3" s="9" t="s">
        <v>76</v>
      </c>
      <c r="H3" s="9" t="s">
        <v>77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78</v>
      </c>
      <c r="B4" s="9" t="s">
        <v>79</v>
      </c>
      <c r="C4" s="9" t="s">
        <v>80</v>
      </c>
      <c r="D4" s="20" t="s">
        <v>61</v>
      </c>
      <c r="E4" s="20" t="s">
        <v>195</v>
      </c>
      <c r="F4" s="9" t="s">
        <v>81</v>
      </c>
      <c r="G4" s="9" t="s">
        <v>82</v>
      </c>
      <c r="H4" s="9" t="s">
        <v>83</v>
      </c>
      <c r="I4" s="9" t="s">
        <v>214</v>
      </c>
      <c r="J4" s="9" t="s">
        <v>215</v>
      </c>
    </row>
    <row r="5" spans="1:27" s="9" customFormat="1">
      <c r="A5" s="9" t="s">
        <v>84</v>
      </c>
      <c r="B5" s="9" t="s">
        <v>85</v>
      </c>
      <c r="C5" s="9" t="s">
        <v>86</v>
      </c>
      <c r="D5" s="20" t="s">
        <v>61</v>
      </c>
      <c r="E5" s="20" t="s">
        <v>54</v>
      </c>
      <c r="F5" s="9" t="s">
        <v>87</v>
      </c>
      <c r="G5" s="9" t="s">
        <v>88</v>
      </c>
      <c r="H5" s="9" t="s">
        <v>89</v>
      </c>
      <c r="I5" s="9" t="s">
        <v>216</v>
      </c>
      <c r="J5" s="9" t="s">
        <v>217</v>
      </c>
    </row>
    <row r="6" spans="1:27" s="9" customFormat="1">
      <c r="A6" s="9" t="s">
        <v>90</v>
      </c>
      <c r="B6" s="16" t="s">
        <v>91</v>
      </c>
      <c r="C6" s="16" t="s">
        <v>203</v>
      </c>
      <c r="D6" s="20" t="s">
        <v>40</v>
      </c>
      <c r="E6" s="20" t="s">
        <v>195</v>
      </c>
      <c r="I6" s="18" t="str">
        <f t="shared" ref="I6:I11" si="0">LOWER($B6)</f>
        <v>cheese raf</v>
      </c>
      <c r="J6" s="18" t="str">
        <f t="shared" ref="J6:J11" si="1">LOWER($B6)&amp;"_"&amp;2</f>
        <v>cheese raf_2</v>
      </c>
    </row>
    <row r="7" spans="1:27" s="9" customFormat="1">
      <c r="A7" s="16" t="s">
        <v>92</v>
      </c>
      <c r="B7" s="16" t="s">
        <v>93</v>
      </c>
      <c r="C7" s="16" t="s">
        <v>94</v>
      </c>
      <c r="D7" s="20" t="s">
        <v>40</v>
      </c>
      <c r="E7" s="20" t="s">
        <v>196</v>
      </c>
      <c r="I7" s="18" t="str">
        <f t="shared" si="0"/>
        <v>baileys coffee</v>
      </c>
      <c r="J7" s="18" t="str">
        <f t="shared" si="1"/>
        <v>baileys coffee_2</v>
      </c>
    </row>
    <row r="8" spans="1:27" s="9" customFormat="1">
      <c r="A8" s="16" t="s">
        <v>96</v>
      </c>
      <c r="B8" s="16" t="s">
        <v>97</v>
      </c>
      <c r="C8" s="16" t="s">
        <v>98</v>
      </c>
      <c r="D8" s="20" t="s">
        <v>40</v>
      </c>
      <c r="E8" s="20" t="s">
        <v>196</v>
      </c>
      <c r="I8" s="18" t="str">
        <f t="shared" si="0"/>
        <v>irish cream</v>
      </c>
      <c r="J8" s="18" t="str">
        <f t="shared" si="1"/>
        <v>irish cream_2</v>
      </c>
    </row>
    <row r="9" spans="1:27" s="9" customFormat="1" ht="15.75" customHeight="1">
      <c r="A9" s="16" t="s">
        <v>99</v>
      </c>
      <c r="B9" s="9" t="s">
        <v>100</v>
      </c>
      <c r="C9" s="16" t="s">
        <v>101</v>
      </c>
      <c r="D9" s="9">
        <v>250</v>
      </c>
      <c r="E9" s="9">
        <v>16</v>
      </c>
      <c r="I9" s="18" t="str">
        <f t="shared" si="0"/>
        <v>cognac cappuccino</v>
      </c>
      <c r="J9" s="18" t="str">
        <f t="shared" si="1"/>
        <v>cognac cappuccino_2</v>
      </c>
    </row>
    <row r="10" spans="1:27" ht="19">
      <c r="A10" s="33" t="s">
        <v>253</v>
      </c>
      <c r="B10" s="33" t="s">
        <v>254</v>
      </c>
      <c r="C10" s="33" t="s">
        <v>255</v>
      </c>
      <c r="D10" s="34"/>
      <c r="E10" s="35" t="s">
        <v>195</v>
      </c>
      <c r="F10" s="25"/>
      <c r="G10" s="32"/>
      <c r="H10" s="9"/>
      <c r="I10" s="29" t="str">
        <f t="shared" si="0"/>
        <v>monc blanc</v>
      </c>
      <c r="J10" s="29" t="str">
        <f t="shared" si="1"/>
        <v>monc blanc_2</v>
      </c>
    </row>
    <row r="11" spans="1:27" ht="19">
      <c r="A11" s="33" t="s">
        <v>256</v>
      </c>
      <c r="B11" s="33" t="s">
        <v>257</v>
      </c>
      <c r="C11" s="33" t="s">
        <v>258</v>
      </c>
      <c r="D11" s="34"/>
      <c r="E11" s="35" t="s">
        <v>259</v>
      </c>
      <c r="F11" s="25"/>
      <c r="G11" s="32"/>
      <c r="H11" s="9"/>
      <c r="I11" s="29" t="str">
        <f t="shared" si="0"/>
        <v>cold brew cranberry</v>
      </c>
      <c r="J11" s="29" t="str">
        <f t="shared" si="1"/>
        <v>cold brew cranberry_2</v>
      </c>
    </row>
    <row r="12" spans="1:27" ht="19">
      <c r="A12" s="33"/>
      <c r="B12" s="33"/>
      <c r="C12" s="33"/>
      <c r="D12" s="34"/>
      <c r="E12" s="35"/>
      <c r="F12" s="2"/>
      <c r="G12" s="2"/>
      <c r="H12" s="2"/>
      <c r="I12" s="29"/>
      <c r="J12" s="29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5.75" customHeight="1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5.75" customHeight="1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5.75" customHeight="1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5.75" customHeight="1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5.75" customHeight="1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>
      <c r="A997" s="2"/>
      <c r="B997" s="2"/>
      <c r="C997" s="2"/>
      <c r="D997" s="7"/>
      <c r="E997" s="7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>
      <c r="A998" s="2"/>
      <c r="B998" s="2"/>
      <c r="C998" s="2"/>
      <c r="D998" s="7"/>
      <c r="E998" s="7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6"/>
  <sheetViews>
    <sheetView workbookViewId="0">
      <selection activeCell="D31" sqref="D31"/>
    </sheetView>
  </sheetViews>
  <sheetFormatPr baseColWidth="10" defaultColWidth="12.6640625" defaultRowHeight="16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s="24" customFormat="1" ht="19">
      <c r="A1" s="21" t="s">
        <v>23</v>
      </c>
      <c r="B1" s="21" t="s">
        <v>24</v>
      </c>
      <c r="C1" s="21" t="s">
        <v>25</v>
      </c>
      <c r="D1" s="22" t="s">
        <v>26</v>
      </c>
      <c r="E1" s="22" t="s">
        <v>27</v>
      </c>
      <c r="F1" s="21" t="s">
        <v>28</v>
      </c>
      <c r="G1" s="21" t="s">
        <v>29</v>
      </c>
      <c r="H1" s="21" t="s">
        <v>30</v>
      </c>
      <c r="I1" s="21" t="s">
        <v>31</v>
      </c>
      <c r="J1" s="21" t="s">
        <v>32</v>
      </c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>
      <c r="A2" s="25" t="s">
        <v>102</v>
      </c>
      <c r="B2" s="26" t="s">
        <v>103</v>
      </c>
      <c r="C2" s="27" t="s">
        <v>104</v>
      </c>
      <c r="D2" s="28" t="s">
        <v>105</v>
      </c>
      <c r="E2" s="28" t="s">
        <v>62</v>
      </c>
      <c r="F2" s="29" t="s">
        <v>106</v>
      </c>
      <c r="G2" s="29" t="s">
        <v>107</v>
      </c>
      <c r="H2" s="9" t="s">
        <v>108</v>
      </c>
      <c r="I2" s="29" t="str">
        <f t="shared" ref="I2:I9" si="0">LOWER($B2)</f>
        <v>glasse</v>
      </c>
      <c r="J2" s="29" t="str">
        <f>LOWER($B2)&amp;"_"&amp;2</f>
        <v>glasse_2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26" t="s">
        <v>109</v>
      </c>
      <c r="B3" s="26" t="s">
        <v>110</v>
      </c>
      <c r="C3" s="9" t="s">
        <v>111</v>
      </c>
      <c r="D3" s="28"/>
      <c r="E3" s="28" t="s">
        <v>197</v>
      </c>
      <c r="F3" s="29" t="s">
        <v>112</v>
      </c>
      <c r="G3" s="29" t="s">
        <v>113</v>
      </c>
      <c r="H3" s="9" t="s">
        <v>114</v>
      </c>
      <c r="I3" s="29" t="str">
        <f t="shared" si="0"/>
        <v>cold brew creamy</v>
      </c>
      <c r="J3" s="29" t="str">
        <f t="shared" ref="J3:J9" si="1">LOWER($B3)&amp;"_"&amp;2</f>
        <v>cold brew creamy_2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115</v>
      </c>
      <c r="B4" s="9" t="s">
        <v>116</v>
      </c>
      <c r="C4" s="30" t="s">
        <v>199</v>
      </c>
      <c r="D4" s="20" t="s">
        <v>61</v>
      </c>
      <c r="E4" s="20" t="s">
        <v>195</v>
      </c>
      <c r="F4" s="9" t="s">
        <v>117</v>
      </c>
      <c r="G4" s="9" t="s">
        <v>118</v>
      </c>
      <c r="H4" s="9" t="s">
        <v>119</v>
      </c>
      <c r="I4" s="29" t="str">
        <f t="shared" si="0"/>
        <v>espresso tonic classic</v>
      </c>
      <c r="J4" s="29" t="str">
        <f t="shared" si="1"/>
        <v>espresso tonic classic_2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9" t="s">
        <v>120</v>
      </c>
      <c r="B5" s="9" t="s">
        <v>121</v>
      </c>
      <c r="C5" s="27" t="s">
        <v>200</v>
      </c>
      <c r="D5" s="20" t="s">
        <v>61</v>
      </c>
      <c r="E5" s="20" t="s">
        <v>95</v>
      </c>
      <c r="F5" s="9" t="s">
        <v>122</v>
      </c>
      <c r="G5" s="9" t="s">
        <v>123</v>
      </c>
      <c r="H5" s="9" t="s">
        <v>124</v>
      </c>
      <c r="I5" s="29" t="str">
        <f t="shared" si="0"/>
        <v>bumble</v>
      </c>
      <c r="J5" s="29" t="str">
        <f t="shared" si="1"/>
        <v>bumble_2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>
      <c r="A6" s="25" t="s">
        <v>125</v>
      </c>
      <c r="B6" s="25" t="s">
        <v>126</v>
      </c>
      <c r="C6" s="9" t="s">
        <v>127</v>
      </c>
      <c r="D6" s="25">
        <v>350</v>
      </c>
      <c r="E6" s="25">
        <v>12</v>
      </c>
      <c r="F6" s="25" t="s">
        <v>128</v>
      </c>
      <c r="G6" s="31" t="s">
        <v>129</v>
      </c>
      <c r="H6" s="9" t="s">
        <v>130</v>
      </c>
      <c r="I6" s="29" t="str">
        <f t="shared" si="0"/>
        <v>lemonade georgian</v>
      </c>
      <c r="J6" s="29" t="str">
        <f t="shared" si="1"/>
        <v>lemonade georgian_2</v>
      </c>
    </row>
    <row r="7" spans="1:27">
      <c r="A7" s="25" t="s">
        <v>131</v>
      </c>
      <c r="B7" s="25" t="s">
        <v>132</v>
      </c>
      <c r="C7" s="27" t="s">
        <v>133</v>
      </c>
      <c r="D7" s="25">
        <v>350</v>
      </c>
      <c r="E7" s="25">
        <v>12</v>
      </c>
      <c r="F7" s="25" t="s">
        <v>134</v>
      </c>
      <c r="G7" s="31" t="s">
        <v>135</v>
      </c>
      <c r="H7" s="9" t="s">
        <v>136</v>
      </c>
      <c r="I7" s="29" t="str">
        <f t="shared" si="0"/>
        <v>lemonade village</v>
      </c>
      <c r="J7" s="29" t="str">
        <f t="shared" si="1"/>
        <v>lemonade village_2</v>
      </c>
    </row>
    <row r="8" spans="1:27">
      <c r="A8" s="25" t="s">
        <v>137</v>
      </c>
      <c r="B8" s="25" t="s">
        <v>138</v>
      </c>
      <c r="C8" s="9" t="s">
        <v>139</v>
      </c>
      <c r="D8" s="25">
        <v>350</v>
      </c>
      <c r="E8" s="25">
        <v>12</v>
      </c>
      <c r="F8" s="25" t="s">
        <v>140</v>
      </c>
      <c r="G8" s="31" t="s">
        <v>141</v>
      </c>
      <c r="H8" s="9" t="s">
        <v>142</v>
      </c>
      <c r="I8" s="29" t="str">
        <f t="shared" si="0"/>
        <v>lemonade strawberry</v>
      </c>
      <c r="J8" s="29" t="str">
        <f t="shared" si="1"/>
        <v>lemonade strawberry_2</v>
      </c>
    </row>
    <row r="9" spans="1:27" ht="16.5" customHeight="1">
      <c r="A9" s="25" t="s">
        <v>143</v>
      </c>
      <c r="B9" s="25" t="s">
        <v>144</v>
      </c>
      <c r="C9" s="9" t="s">
        <v>145</v>
      </c>
      <c r="D9" s="25">
        <v>350</v>
      </c>
      <c r="E9" s="25">
        <v>12</v>
      </c>
      <c r="F9" s="25" t="s">
        <v>146</v>
      </c>
      <c r="G9" s="31" t="s">
        <v>147</v>
      </c>
      <c r="H9" s="9" t="s">
        <v>148</v>
      </c>
      <c r="I9" s="29" t="str">
        <f t="shared" si="0"/>
        <v>lemonade tropical</v>
      </c>
      <c r="J9" s="29" t="str">
        <f t="shared" si="1"/>
        <v>lemonade tropical_2</v>
      </c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2"/>
  <sheetViews>
    <sheetView workbookViewId="0">
      <selection activeCell="F11" sqref="F11"/>
    </sheetView>
  </sheetViews>
  <sheetFormatPr baseColWidth="10" defaultColWidth="12.6640625" defaultRowHeight="15.75" customHeight="1"/>
  <sheetData>
    <row r="1" spans="1:27" s="14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  <c r="K1" s="8"/>
      <c r="L1" s="8"/>
      <c r="M1" s="8"/>
    </row>
    <row r="2" spans="1:27" ht="16">
      <c r="A2" s="25" t="s">
        <v>218</v>
      </c>
      <c r="B2" s="26" t="s">
        <v>13</v>
      </c>
      <c r="C2" s="9" t="s">
        <v>202</v>
      </c>
      <c r="D2" s="28" t="s">
        <v>61</v>
      </c>
      <c r="E2" s="28" t="s">
        <v>62</v>
      </c>
      <c r="F2" s="25" t="s">
        <v>149</v>
      </c>
      <c r="G2" s="26" t="s">
        <v>150</v>
      </c>
      <c r="H2" s="9" t="s">
        <v>151</v>
      </c>
      <c r="I2" s="29" t="str">
        <f t="shared" ref="I2:I7" si="0">LOWER($B2)</f>
        <v>matcha</v>
      </c>
      <c r="J2" s="29" t="str">
        <f t="shared" ref="J2:J7" si="1">LOWER($B2)&amp;"_"&amp;2</f>
        <v>matcha_2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5" t="s">
        <v>152</v>
      </c>
      <c r="B3" s="27" t="s">
        <v>153</v>
      </c>
      <c r="C3" s="27" t="s">
        <v>154</v>
      </c>
      <c r="D3" s="28" t="s">
        <v>40</v>
      </c>
      <c r="E3" s="28" t="s">
        <v>95</v>
      </c>
      <c r="G3" s="26"/>
      <c r="H3" s="9"/>
      <c r="I3" s="29" t="str">
        <f t="shared" si="0"/>
        <v>matcha orange</v>
      </c>
      <c r="J3" s="29" t="str">
        <f t="shared" si="1"/>
        <v>matcha orange_2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5" t="s">
        <v>155</v>
      </c>
      <c r="B4" s="27" t="s">
        <v>156</v>
      </c>
      <c r="C4" s="27" t="s">
        <v>157</v>
      </c>
      <c r="D4" s="28" t="s">
        <v>40</v>
      </c>
      <c r="E4" s="28" t="s">
        <v>95</v>
      </c>
      <c r="F4" s="25" t="s">
        <v>158</v>
      </c>
      <c r="G4" s="26" t="s">
        <v>159</v>
      </c>
      <c r="H4" s="9" t="s">
        <v>160</v>
      </c>
      <c r="I4" s="29" t="str">
        <f t="shared" si="0"/>
        <v>oasis matcha</v>
      </c>
      <c r="J4" s="29" t="str">
        <f t="shared" si="1"/>
        <v>oasis matcha_2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5" t="s">
        <v>161</v>
      </c>
      <c r="B5" s="25" t="s">
        <v>162</v>
      </c>
      <c r="C5" s="27" t="s">
        <v>163</v>
      </c>
      <c r="D5" s="25">
        <v>250</v>
      </c>
      <c r="E5" s="25">
        <v>15</v>
      </c>
      <c r="F5" s="25" t="s">
        <v>164</v>
      </c>
      <c r="G5" s="25" t="s">
        <v>165</v>
      </c>
      <c r="H5" s="25" t="s">
        <v>166</v>
      </c>
      <c r="I5" s="29" t="str">
        <f>LOWER($B5)</f>
        <v>exotic matcha</v>
      </c>
      <c r="J5" s="29" t="str">
        <f t="shared" si="1"/>
        <v>exotic matcha_2</v>
      </c>
      <c r="AA5" s="9"/>
    </row>
    <row r="6" spans="1:27" ht="16">
      <c r="A6" s="25" t="s">
        <v>167</v>
      </c>
      <c r="B6" s="25" t="s">
        <v>168</v>
      </c>
      <c r="C6" s="27" t="s">
        <v>169</v>
      </c>
      <c r="D6" s="25">
        <v>250</v>
      </c>
      <c r="E6" s="25">
        <v>15</v>
      </c>
      <c r="F6" s="25" t="s">
        <v>170</v>
      </c>
      <c r="G6" s="25" t="s">
        <v>171</v>
      </c>
      <c r="H6" s="25" t="s">
        <v>172</v>
      </c>
      <c r="I6" s="29" t="str">
        <f t="shared" si="0"/>
        <v>matcha colada</v>
      </c>
      <c r="J6" s="29" t="str">
        <f t="shared" si="1"/>
        <v>matcha colada_2</v>
      </c>
      <c r="AA6" s="9"/>
    </row>
    <row r="7" spans="1:27" ht="19">
      <c r="A7" s="33" t="s">
        <v>260</v>
      </c>
      <c r="B7" s="33" t="s">
        <v>261</v>
      </c>
      <c r="C7" s="33" t="s">
        <v>262</v>
      </c>
      <c r="D7" s="34"/>
      <c r="E7" s="35" t="s">
        <v>95</v>
      </c>
      <c r="F7" s="2"/>
      <c r="G7" s="2"/>
      <c r="H7" s="2"/>
      <c r="I7" s="29" t="str">
        <f t="shared" si="0"/>
        <v>matcha orange creamy</v>
      </c>
      <c r="J7" s="29" t="str">
        <f t="shared" si="1"/>
        <v>matcha orange creamy_2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12" spans="1:27" ht="15.75" customHeight="1">
      <c r="C1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F4E3-F3C6-A94B-9E9B-A1FA1666BAAF}">
  <dimension ref="A1:AA10"/>
  <sheetViews>
    <sheetView workbookViewId="0">
      <selection activeCell="D19" sqref="D19"/>
    </sheetView>
  </sheetViews>
  <sheetFormatPr baseColWidth="10" defaultColWidth="12.6640625" defaultRowHeight="15.75" customHeight="1"/>
  <cols>
    <col min="3" max="3" width="22.83203125" customWidth="1"/>
  </cols>
  <sheetData>
    <row r="1" spans="1:27" s="14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  <c r="K1" s="8"/>
      <c r="L1" s="8"/>
      <c r="M1" s="8"/>
    </row>
    <row r="2" spans="1:27" ht="16">
      <c r="A2" s="25" t="s">
        <v>173</v>
      </c>
      <c r="B2" s="26" t="s">
        <v>174</v>
      </c>
      <c r="C2" s="27" t="s">
        <v>175</v>
      </c>
      <c r="D2" s="28" t="s">
        <v>40</v>
      </c>
      <c r="E2" s="28" t="s">
        <v>176</v>
      </c>
      <c r="G2" s="26"/>
      <c r="H2" s="9"/>
      <c r="I2" s="29" t="str">
        <f t="shared" ref="I2:I7" si="0">LOWER($B2)</f>
        <v>assam</v>
      </c>
      <c r="J2" s="29" t="str">
        <f t="shared" ref="J2:J7" si="1">LOWER($B2)&amp;"_"&amp;2</f>
        <v>assam_2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5" t="s">
        <v>177</v>
      </c>
      <c r="B3" s="27" t="s">
        <v>178</v>
      </c>
      <c r="C3" s="27" t="s">
        <v>179</v>
      </c>
      <c r="D3" s="28" t="s">
        <v>40</v>
      </c>
      <c r="E3" s="28" t="s">
        <v>176</v>
      </c>
      <c r="G3" s="26"/>
      <c r="H3" s="9"/>
      <c r="I3" s="29" t="str">
        <f t="shared" si="0"/>
        <v>earl grey</v>
      </c>
      <c r="J3" s="29" t="str">
        <f t="shared" si="1"/>
        <v>earl grey_2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5" t="s">
        <v>180</v>
      </c>
      <c r="B4" s="27" t="s">
        <v>181</v>
      </c>
      <c r="C4" s="27" t="s">
        <v>182</v>
      </c>
      <c r="D4" s="28" t="s">
        <v>40</v>
      </c>
      <c r="E4" s="28" t="s">
        <v>176</v>
      </c>
      <c r="G4" s="26"/>
      <c r="H4" s="9"/>
      <c r="I4" s="29" t="str">
        <f t="shared" si="0"/>
        <v>sencha</v>
      </c>
      <c r="J4" s="29" t="str">
        <f t="shared" si="1"/>
        <v>sencha_2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5" t="s">
        <v>183</v>
      </c>
      <c r="B5" s="25" t="s">
        <v>184</v>
      </c>
      <c r="C5" s="27" t="s">
        <v>185</v>
      </c>
      <c r="D5" s="25">
        <v>250</v>
      </c>
      <c r="E5" s="25">
        <v>7</v>
      </c>
      <c r="I5" s="29" t="str">
        <f t="shared" si="0"/>
        <v>oolong coconut</v>
      </c>
      <c r="J5" s="29" t="str">
        <f t="shared" si="1"/>
        <v>oolong coconut_2</v>
      </c>
      <c r="AA5" s="9"/>
    </row>
    <row r="6" spans="1:27" ht="16">
      <c r="A6" s="25" t="s">
        <v>186</v>
      </c>
      <c r="B6" s="25" t="s">
        <v>187</v>
      </c>
      <c r="C6" s="27" t="s">
        <v>188</v>
      </c>
      <c r="D6" s="25">
        <v>250</v>
      </c>
      <c r="E6" s="25">
        <v>7</v>
      </c>
      <c r="I6" s="29" t="str">
        <f t="shared" si="0"/>
        <v>ku qiao</v>
      </c>
      <c r="J6" s="29" t="str">
        <f t="shared" si="1"/>
        <v>ku qiao_2</v>
      </c>
      <c r="AA6" s="9"/>
    </row>
    <row r="7" spans="1:27" ht="16">
      <c r="A7" s="25" t="s">
        <v>189</v>
      </c>
      <c r="B7" s="27" t="s">
        <v>190</v>
      </c>
      <c r="C7" s="27" t="s">
        <v>191</v>
      </c>
      <c r="D7" s="25">
        <v>250</v>
      </c>
      <c r="E7" s="25">
        <v>7</v>
      </c>
      <c r="I7" s="29" t="str">
        <f t="shared" si="0"/>
        <v>masala</v>
      </c>
      <c r="J7" s="29" t="str">
        <f t="shared" si="1"/>
        <v>masala_2</v>
      </c>
      <c r="AA7" s="9"/>
    </row>
    <row r="8" spans="1:27" ht="16">
      <c r="A8" s="25"/>
      <c r="B8" s="27"/>
      <c r="C8" s="27"/>
      <c r="D8" s="25"/>
      <c r="E8" s="25"/>
      <c r="I8" s="29"/>
      <c r="J8" s="29"/>
      <c r="AA8" s="9"/>
    </row>
    <row r="9" spans="1:27" ht="16">
      <c r="A9" s="27"/>
      <c r="B9" s="25"/>
      <c r="C9" s="27"/>
      <c r="D9" s="25"/>
      <c r="E9" s="25"/>
      <c r="I9" s="29"/>
      <c r="J9" s="29"/>
    </row>
    <row r="10" spans="1:27" ht="16">
      <c r="A10" s="25"/>
      <c r="B10" s="16"/>
      <c r="C10" s="16"/>
      <c r="D10" s="25"/>
      <c r="E10" s="25"/>
      <c r="I10" s="29"/>
      <c r="J10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1000"/>
  <sheetViews>
    <sheetView workbookViewId="0">
      <selection activeCell="I10" sqref="I10"/>
    </sheetView>
  </sheetViews>
  <sheetFormatPr baseColWidth="10" defaultColWidth="12.6640625" defaultRowHeight="15.75" customHeight="1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s="24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6">
      <c r="A2" s="16" t="s">
        <v>198</v>
      </c>
      <c r="B2" s="16" t="s">
        <v>198</v>
      </c>
      <c r="C2" s="16" t="s">
        <v>198</v>
      </c>
      <c r="D2" s="17"/>
      <c r="E2" s="17" t="s">
        <v>219</v>
      </c>
      <c r="F2" s="16"/>
      <c r="G2" s="16"/>
      <c r="H2" s="9"/>
      <c r="I2" s="29" t="str">
        <f t="shared" ref="I2:I10" si="0">LOWER($B2)</f>
        <v>blanc de blancs</v>
      </c>
      <c r="J2" s="29" t="str">
        <f t="shared" ref="J2:J10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" t="s">
        <v>220</v>
      </c>
      <c r="B3" s="2" t="s">
        <v>220</v>
      </c>
      <c r="C3" s="2" t="s">
        <v>220</v>
      </c>
      <c r="D3" s="7"/>
      <c r="E3" s="7" t="s">
        <v>221</v>
      </c>
      <c r="F3" s="2" t="s">
        <v>227</v>
      </c>
      <c r="G3" s="2" t="s">
        <v>227</v>
      </c>
      <c r="H3" s="2" t="s">
        <v>227</v>
      </c>
      <c r="I3" s="29" t="str">
        <f t="shared" si="0"/>
        <v>blue dankey pet-nat</v>
      </c>
      <c r="J3" s="29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" t="s">
        <v>222</v>
      </c>
      <c r="B4" s="2" t="s">
        <v>222</v>
      </c>
      <c r="C4" s="2" t="s">
        <v>222</v>
      </c>
      <c r="D4" s="7"/>
      <c r="E4" s="7" t="s">
        <v>219</v>
      </c>
      <c r="F4" s="2" t="s">
        <v>228</v>
      </c>
      <c r="G4" s="2" t="s">
        <v>228</v>
      </c>
      <c r="H4" s="2" t="s">
        <v>228</v>
      </c>
      <c r="I4" s="29" t="str">
        <f t="shared" si="0"/>
        <v>majesta rose brut</v>
      </c>
      <c r="J4" s="29" t="str">
        <f t="shared" si="1"/>
        <v>majesta rose brut_2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" t="s">
        <v>223</v>
      </c>
      <c r="B5" s="2" t="s">
        <v>223</v>
      </c>
      <c r="C5" s="2" t="s">
        <v>223</v>
      </c>
      <c r="D5" s="7"/>
      <c r="E5" s="7" t="s">
        <v>219</v>
      </c>
      <c r="F5" s="2" t="s">
        <v>225</v>
      </c>
      <c r="G5" s="2" t="s">
        <v>225</v>
      </c>
      <c r="H5" s="2" t="s">
        <v>225</v>
      </c>
      <c r="I5" s="29" t="str">
        <f>LOWER($B5)</f>
        <v>esteban martin chardonnay</v>
      </c>
      <c r="J5" s="29" t="str">
        <f t="shared" si="1"/>
        <v>esteban martin chardonnay_2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6">
      <c r="A6" s="2" t="s">
        <v>224</v>
      </c>
      <c r="B6" s="2" t="s">
        <v>224</v>
      </c>
      <c r="C6" s="2" t="s">
        <v>224</v>
      </c>
      <c r="D6" s="7"/>
      <c r="E6" s="7" t="s">
        <v>221</v>
      </c>
      <c r="F6" s="2" t="s">
        <v>225</v>
      </c>
      <c r="G6" s="2" t="s">
        <v>225</v>
      </c>
      <c r="H6" s="2" t="s">
        <v>225</v>
      </c>
      <c r="I6" s="29" t="str">
        <f>LOWER($B6)</f>
        <v>marbano kisi</v>
      </c>
      <c r="J6" s="29" t="str">
        <f t="shared" si="1"/>
        <v>marbano kisi_2</v>
      </c>
    </row>
    <row r="7" spans="1:27" ht="16">
      <c r="A7" s="2" t="s">
        <v>192</v>
      </c>
      <c r="B7" s="2" t="s">
        <v>192</v>
      </c>
      <c r="C7" s="2" t="s">
        <v>192</v>
      </c>
      <c r="D7" s="7"/>
      <c r="E7" s="7" t="s">
        <v>230</v>
      </c>
      <c r="F7" s="2" t="s">
        <v>225</v>
      </c>
      <c r="G7" s="2" t="s">
        <v>225</v>
      </c>
      <c r="H7" s="2" t="s">
        <v>225</v>
      </c>
      <c r="I7" s="29" t="str">
        <f t="shared" si="0"/>
        <v>marlborough sun sauvignon blanc</v>
      </c>
      <c r="J7" s="29" t="str">
        <f t="shared" si="1"/>
        <v>marlborough sun sauvignon blanc_2</v>
      </c>
    </row>
    <row r="8" spans="1:27" ht="16">
      <c r="A8" s="2" t="s">
        <v>229</v>
      </c>
      <c r="B8" s="2" t="s">
        <v>229</v>
      </c>
      <c r="C8" s="2" t="s">
        <v>229</v>
      </c>
      <c r="D8" s="7"/>
      <c r="E8" s="7" t="s">
        <v>231</v>
      </c>
      <c r="F8" s="2" t="s">
        <v>226</v>
      </c>
      <c r="G8" s="2" t="s">
        <v>226</v>
      </c>
      <c r="H8" s="2" t="s">
        <v>226</v>
      </c>
      <c r="I8" s="29" t="str">
        <f t="shared" si="0"/>
        <v>queen tvishi</v>
      </c>
      <c r="J8" s="29" t="str">
        <f t="shared" si="1"/>
        <v>queen tvishi_2</v>
      </c>
    </row>
    <row r="9" spans="1:27" ht="16.5" customHeight="1">
      <c r="A9" s="2" t="s">
        <v>232</v>
      </c>
      <c r="B9" s="2" t="s">
        <v>232</v>
      </c>
      <c r="C9" s="2" t="s">
        <v>232</v>
      </c>
      <c r="D9" s="7"/>
      <c r="E9" s="7" t="s">
        <v>231</v>
      </c>
      <c r="F9" s="2" t="s">
        <v>233</v>
      </c>
      <c r="G9" s="2" t="s">
        <v>233</v>
      </c>
      <c r="H9" s="2" t="s">
        <v>233</v>
      </c>
      <c r="I9" s="29" t="str">
        <f t="shared" si="0"/>
        <v>esteban martin garnacha</v>
      </c>
      <c r="J9" s="29" t="str">
        <f t="shared" si="1"/>
        <v>esteban martin garnacha_2</v>
      </c>
    </row>
    <row r="10" spans="1:27" ht="16">
      <c r="A10" s="2" t="s">
        <v>234</v>
      </c>
      <c r="B10" s="2" t="s">
        <v>234</v>
      </c>
      <c r="C10" s="2" t="s">
        <v>234</v>
      </c>
      <c r="D10" s="7"/>
      <c r="E10" s="7" t="s">
        <v>235</v>
      </c>
      <c r="F10" s="2" t="s">
        <v>236</v>
      </c>
      <c r="G10" s="2" t="s">
        <v>236</v>
      </c>
      <c r="H10" s="2" t="s">
        <v>236</v>
      </c>
      <c r="I10" s="29" t="str">
        <f t="shared" si="0"/>
        <v>kindzmarauli</v>
      </c>
      <c r="J10" s="29" t="str">
        <f t="shared" si="1"/>
        <v>kindzmarauli_2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1:27" ht="16"/>
    <row r="998" spans="11:27" ht="16"/>
    <row r="999" spans="11:27" ht="16"/>
    <row r="1000" spans="11:27" ht="16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workbookViewId="0">
      <selection activeCell="E23" sqref="E23"/>
    </sheetView>
  </sheetViews>
  <sheetFormatPr baseColWidth="10" defaultColWidth="12.6640625" defaultRowHeight="16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s="24" customFormat="1" ht="19">
      <c r="A1" s="21" t="s">
        <v>23</v>
      </c>
      <c r="B1" s="21" t="s">
        <v>24</v>
      </c>
      <c r="C1" s="21" t="s">
        <v>25</v>
      </c>
      <c r="D1" s="22" t="s">
        <v>26</v>
      </c>
      <c r="E1" s="22" t="s">
        <v>27</v>
      </c>
      <c r="F1" s="21" t="s">
        <v>28</v>
      </c>
      <c r="G1" s="21" t="s">
        <v>29</v>
      </c>
      <c r="H1" s="21" t="s">
        <v>30</v>
      </c>
      <c r="I1" s="21" t="s">
        <v>31</v>
      </c>
      <c r="J1" s="21" t="s">
        <v>32</v>
      </c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9">
      <c r="A2" s="33" t="s">
        <v>237</v>
      </c>
      <c r="B2" s="33" t="s">
        <v>238</v>
      </c>
      <c r="C2" s="33" t="s">
        <v>239</v>
      </c>
      <c r="D2" s="34"/>
      <c r="E2" s="35" t="s">
        <v>240</v>
      </c>
      <c r="F2" s="29"/>
      <c r="G2" s="29"/>
      <c r="H2" s="9"/>
      <c r="I2" s="29" t="str">
        <f t="shared" ref="I2:I6" si="0">LOWER($B2)</f>
        <v>aperol spritz</v>
      </c>
      <c r="J2" s="29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9">
      <c r="A3" s="33" t="s">
        <v>241</v>
      </c>
      <c r="B3" s="33" t="s">
        <v>242</v>
      </c>
      <c r="C3" s="33" t="s">
        <v>243</v>
      </c>
      <c r="D3" s="34"/>
      <c r="E3" s="35" t="s">
        <v>240</v>
      </c>
      <c r="F3" s="29"/>
      <c r="G3" s="29"/>
      <c r="H3" s="9"/>
      <c r="I3" s="29" t="str">
        <f t="shared" si="0"/>
        <v>coffee spritz</v>
      </c>
      <c r="J3" s="29" t="str">
        <f t="shared" ref="J3:J6" si="1">LOWER($B3)&amp;"_"&amp;2</f>
        <v>coffee spritz_2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9">
      <c r="A4" s="33" t="s">
        <v>244</v>
      </c>
      <c r="B4" s="33" t="s">
        <v>245</v>
      </c>
      <c r="C4" s="33" t="s">
        <v>246</v>
      </c>
      <c r="D4" s="34"/>
      <c r="E4" s="35" t="s">
        <v>240</v>
      </c>
      <c r="F4" s="9"/>
      <c r="G4" s="9"/>
      <c r="H4" s="9"/>
      <c r="I4" s="29" t="str">
        <f t="shared" si="0"/>
        <v>citrus spritz</v>
      </c>
      <c r="J4" s="29" t="str">
        <f t="shared" si="1"/>
        <v>citrus spritz_2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9">
      <c r="A5" s="33" t="s">
        <v>247</v>
      </c>
      <c r="B5" s="33" t="s">
        <v>248</v>
      </c>
      <c r="C5" s="33" t="s">
        <v>249</v>
      </c>
      <c r="D5" s="34"/>
      <c r="E5" s="35" t="s">
        <v>240</v>
      </c>
      <c r="F5" s="9"/>
      <c r="G5" s="9"/>
      <c r="H5" s="9"/>
      <c r="I5" s="29" t="str">
        <f t="shared" si="0"/>
        <v>grapefruit elder gin &amp; tonic</v>
      </c>
      <c r="J5" s="29" t="str">
        <f t="shared" si="1"/>
        <v>grapefruit elder gin &amp; tonic_2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9">
      <c r="A6" s="33" t="s">
        <v>250</v>
      </c>
      <c r="B6" s="33" t="s">
        <v>251</v>
      </c>
      <c r="C6" s="33" t="s">
        <v>252</v>
      </c>
      <c r="D6" s="34"/>
      <c r="E6" s="35" t="s">
        <v>95</v>
      </c>
      <c r="F6" s="25"/>
      <c r="G6" s="32"/>
      <c r="H6" s="9"/>
      <c r="I6" s="29" t="str">
        <f t="shared" si="0"/>
        <v>bellini</v>
      </c>
      <c r="J6" s="29" t="str">
        <f t="shared" si="1"/>
        <v>bellini_2</v>
      </c>
    </row>
    <row r="7" spans="1:27" ht="19">
      <c r="A7" s="33"/>
      <c r="B7" s="33"/>
      <c r="C7" s="33"/>
      <c r="D7" s="34"/>
      <c r="E7" s="35"/>
      <c r="F7" s="25"/>
      <c r="G7" s="32"/>
      <c r="H7" s="9"/>
      <c r="I7" s="29"/>
      <c r="J7" s="29"/>
    </row>
    <row r="8" spans="1:27" ht="19">
      <c r="A8" s="33"/>
      <c r="B8" s="33"/>
      <c r="C8" s="33"/>
      <c r="D8" s="34"/>
      <c r="E8" s="35"/>
      <c r="F8" s="25"/>
      <c r="G8" s="32"/>
      <c r="H8" s="9"/>
      <c r="I8" s="29"/>
      <c r="J8" s="29"/>
    </row>
    <row r="9" spans="1:27" ht="16.5" customHeight="1">
      <c r="A9" s="33"/>
      <c r="B9" s="33"/>
      <c r="C9" s="33"/>
      <c r="D9" s="34"/>
      <c r="E9" s="35"/>
      <c r="F9" s="8"/>
      <c r="G9" s="8"/>
      <c r="H9" s="8"/>
      <c r="I9" s="29"/>
      <c r="J9" s="29"/>
    </row>
    <row r="10" spans="1:27" ht="19">
      <c r="A10" s="33"/>
      <c r="B10" s="33"/>
      <c r="C10" s="33"/>
      <c r="D10" s="34"/>
      <c r="E10" s="35"/>
      <c r="F10" s="16"/>
      <c r="G10" s="16"/>
      <c r="H10" s="9"/>
      <c r="I10" s="29"/>
      <c r="J10" s="29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33"/>
      <c r="B11" s="33"/>
      <c r="C11" s="33"/>
      <c r="D11" s="34"/>
      <c r="E11" s="35"/>
      <c r="F11" s="2"/>
      <c r="G11" s="2"/>
      <c r="H11" s="2"/>
      <c r="I11" s="29"/>
      <c r="J11" s="29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9"/>
      <c r="J12" s="29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9"/>
      <c r="J13" s="29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9"/>
      <c r="J14" s="29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9"/>
      <c r="J15" s="29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9"/>
      <c r="J16" s="29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9"/>
      <c r="J17" s="29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9"/>
      <c r="J18" s="29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catalogs</vt:lpstr>
      <vt:lpstr>classic</vt:lpstr>
      <vt:lpstr>special</vt:lpstr>
      <vt:lpstr>ice drinks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2025-12-09T20:54:04Z</dcterms:modified>
</cp:coreProperties>
</file>