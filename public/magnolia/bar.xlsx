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7097F6F5-8BF1-394C-B393-FF794F789CD4}" xr6:coauthVersionLast="47" xr6:coauthVersionMax="47" xr10:uidLastSave="{00000000-0000-0000-0000-000000000000}"/>
  <bookViews>
    <workbookView xWindow="1500" yWindow="600" windowWidth="16540" windowHeight="16260" firstSheet="1" activeTab="2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5"/>
  <c r="J4" i="5"/>
  <c r="J5" i="5"/>
  <c r="I6" i="5"/>
  <c r="J6" i="5"/>
</calcChain>
</file>

<file path=xl/sharedStrings.xml><?xml version="1.0" encoding="utf-8"?>
<sst xmlns="http://schemas.openxmlformats.org/spreadsheetml/2006/main" count="290" uniqueCount="153">
  <si>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</si>
  <si>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</si>
  <si>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</si>
  <si>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</si>
  <si>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</si>
  <si>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</si>
  <si>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</si>
  <si>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</si>
  <si>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</si>
  <si>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</si>
  <si>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</si>
  <si>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</si>
  <si>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</si>
  <si>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</si>
  <si>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</si>
  <si>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</si>
  <si>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</si>
  <si>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</si>
  <si>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</si>
  <si>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</si>
  <si>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</si>
  <si>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</si>
  <si>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</si>
  <si>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</si>
  <si>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</si>
  <si>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</si>
  <si>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</si>
  <si>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</si>
  <si>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</si>
  <si>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</si>
  <si>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</si>
  <si>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</si>
  <si>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</si>
  <si>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</si>
  <si>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</si>
  <si>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</si>
  <si>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</si>
  <si>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</si>
  <si>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</si>
  <si>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</si>
  <si>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</si>
  <si>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</si>
  <si>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</si>
  <si>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</si>
  <si>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</si>
  <si>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</si>
  <si>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</si>
  <si>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</si>
  <si>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</si>
  <si>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</si>
  <si>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</si>
  <si>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</si>
  <si>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</si>
  <si>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</si>
  <si>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</si>
  <si>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</si>
  <si>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</si>
  <si>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</si>
  <si>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</si>
  <si>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</si>
  <si>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</si>
  <si>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</si>
  <si>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</si>
  <si>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</si>
  <si>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</si>
  <si>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</si>
  <si>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</si>
  <si>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</si>
  <si>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</si>
  <si>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</si>
  <si>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</si>
  <si>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</si>
  <si>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</si>
  <si>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</si>
  <si>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</si>
  <si>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</si>
  <si>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</si>
  <si>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</si>
  <si>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</si>
  <si>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</si>
  <si>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</si>
  <si>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</si>
  <si>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</si>
  <si>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</si>
  <si>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</si>
  <si>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</si>
  <si>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</si>
  <si>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</si>
  <si>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</si>
  <si>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</si>
  <si>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</si>
  <si>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</si>
  <si>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</si>
  <si>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</si>
  <si>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</si>
  <si>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</si>
  <si>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</si>
  <si>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</si>
  <si>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</si>
  <si>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</si>
  <si>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</si>
  <si>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</si>
  <si>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</si>
  <si>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</si>
  <si>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</si>
  <si>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</si>
  <si>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</si>
  <si>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</si>
  <si>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</si>
  <si>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</si>
  <si>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</si>
  <si>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</si>
  <si>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</si>
  <si>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</si>
  <si>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</si>
  <si>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</si>
  <si>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</si>
  <si>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</si>
  <si>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</si>
  <si>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</si>
  <si>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</si>
  <si>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</si>
  <si>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</si>
  <si>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</si>
  <si>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</si>
  <si>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</si>
  <si>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</si>
  <si>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</si>
  <si>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</si>
  <si>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</si>
  <si>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</si>
  <si>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</si>
  <si>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</si>
  <si>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</si>
  <si>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</si>
  <si>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</si>
  <si>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</si>
  <si>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</si>
  <si>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</si>
  <si>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</si>
  <si>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</si>
  <si>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</si>
  <si>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Латте/ Холодный Латте</t>
  </si>
  <si>
    <t>matcha orange3</t>
  </si>
  <si>
    <t>bumble4</t>
  </si>
  <si>
    <t>bumble4_2</t>
  </si>
  <si>
    <t>matcha orange3_2</t>
  </si>
  <si>
    <t>Matcha latte-ice matcha latte</t>
  </si>
  <si>
    <t>Latte-Ice Latte</t>
  </si>
  <si>
    <t>Espresso tonic</t>
  </si>
  <si>
    <t xml:space="preserve">filter coffee  </t>
  </si>
  <si>
    <t xml:space="preserve">Masala </t>
  </si>
  <si>
    <t xml:space="preserve">V60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</si>
</sst>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90</v>
      </c>
      <c r="B5" s="10" t="s">
        <v>91</v>
      </c>
      <c r="C5" s="10" t="s">
        <v>91</v>
      </c>
    </row>
    <row r="6" spans="1:3" ht="16">
      <c r="A6" s="10" t="s">
        <v>11</v>
      </c>
      <c r="B6" s="10" t="s">
        <v>12</v>
      </c>
      <c r="C6" s="10" t="s">
        <v>63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topLeftCell="D1" workbookViewId="0">
      <selection activeCell="J6" sqref="J6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66</v>
      </c>
      <c r="J2" s="16" t="s">
        <v>65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67</v>
      </c>
      <c r="J3" s="16" t="s">
        <v>68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47</v>
      </c>
      <c r="E4" s="37" t="s">
        <v>92</v>
      </c>
      <c r="G4" s="16"/>
      <c r="I4" s="16" t="s">
        <v>69</v>
      </c>
      <c r="J4" s="16" t="s">
        <v>70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71</v>
      </c>
      <c r="J5" s="16" t="s">
        <v>72</v>
      </c>
    </row>
    <row r="6" spans="1:13" s="9" customFormat="1">
      <c r="A6" s="9" t="s">
        <v>142</v>
      </c>
      <c r="B6" s="16" t="s">
        <v>148</v>
      </c>
      <c r="C6" s="9" t="s">
        <v>44</v>
      </c>
      <c r="D6" s="36"/>
      <c r="E6" s="37">
        <v>11</v>
      </c>
      <c r="G6" s="16"/>
      <c r="I6" s="17" t="str">
        <f t="shared" ref="I6" si="0">LOWER($B6)</f>
        <v>latte-ice latte</v>
      </c>
      <c r="J6" s="17" t="str">
        <f t="shared" ref="J6" si="1">LOWER($B6)&amp;"_"&amp;2</f>
        <v>latte-ice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abSelected="1" topLeftCell="B1" workbookViewId="0">
      <selection activeCell="G14" sqref="G14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150</v>
      </c>
      <c r="C2" s="9" t="s">
        <v>46</v>
      </c>
      <c r="D2" s="35" t="s">
        <v>47</v>
      </c>
      <c r="E2" s="33" t="s">
        <v>93</v>
      </c>
      <c r="I2" s="9" t="str">
        <f>LOWER($B2)</f>
        <v xml:space="preserve">filter coffee  </v>
      </c>
      <c r="J2" s="9" t="str">
        <f>LOWER($B2)&amp;"_"&amp;2</f>
        <v>filter coffee  _2</v>
      </c>
    </row>
    <row r="3" spans="1:27" s="9" customFormat="1">
      <c r="A3" s="9" t="s">
        <v>48</v>
      </c>
      <c r="B3" s="9" t="s">
        <v>48</v>
      </c>
      <c r="C3" s="9" t="s">
        <v>152</v>
      </c>
      <c r="D3" s="35"/>
      <c r="E3" s="33" t="s">
        <v>92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49</v>
      </c>
      <c r="B4" s="9" t="s">
        <v>50</v>
      </c>
      <c r="C4" s="9" t="s">
        <v>51</v>
      </c>
      <c r="D4" s="35"/>
      <c r="E4" s="33">
        <v>13</v>
      </c>
      <c r="I4" s="9" t="s">
        <v>73</v>
      </c>
      <c r="J4" s="9" t="s">
        <v>74</v>
      </c>
    </row>
    <row r="5" spans="1:27" s="9" customFormat="1">
      <c r="A5" s="9" t="s">
        <v>52</v>
      </c>
      <c r="B5" s="9" t="s">
        <v>53</v>
      </c>
      <c r="C5" s="9" t="s">
        <v>54</v>
      </c>
      <c r="D5" s="35"/>
      <c r="E5" s="33">
        <v>10</v>
      </c>
      <c r="I5" s="9" t="s">
        <v>75</v>
      </c>
      <c r="J5" s="9" t="s">
        <v>76</v>
      </c>
    </row>
    <row r="6" spans="1:27" s="9" customFormat="1">
      <c r="A6" s="16" t="s">
        <v>94</v>
      </c>
      <c r="B6" s="16" t="s">
        <v>95</v>
      </c>
      <c r="C6" s="16" t="s">
        <v>95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139</v>
      </c>
      <c r="B7" s="29" t="s">
        <v>140</v>
      </c>
      <c r="C7" s="29" t="s">
        <v>140</v>
      </c>
      <c r="D7" s="30"/>
      <c r="E7" s="31" t="s">
        <v>141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topLeftCell="C1" workbookViewId="0">
      <selection activeCell="I3" sqref="I3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100</v>
      </c>
      <c r="B2" s="24" t="s">
        <v>96</v>
      </c>
      <c r="C2" s="24" t="s">
        <v>96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97</v>
      </c>
      <c r="B3" s="9" t="s">
        <v>149</v>
      </c>
      <c r="C3" s="27" t="s">
        <v>61</v>
      </c>
      <c r="D3" s="33"/>
      <c r="E3" s="33">
        <v>13</v>
      </c>
      <c r="F3" s="9"/>
      <c r="G3" s="9"/>
      <c r="H3" s="9"/>
      <c r="I3" s="26" t="str">
        <f t="shared" si="0"/>
        <v>espresso tonic</v>
      </c>
      <c r="J3" s="26" t="str">
        <f t="shared" ref="J3:J5" si="1">LOWER($B3)&amp;"_"&amp;2</f>
        <v>espresso tonic_2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55</v>
      </c>
      <c r="B4" s="9" t="s">
        <v>56</v>
      </c>
      <c r="C4" s="25" t="s">
        <v>62</v>
      </c>
      <c r="D4" s="33">
        <v>250</v>
      </c>
      <c r="E4" s="33">
        <v>15</v>
      </c>
      <c r="F4" s="9"/>
      <c r="G4" s="9"/>
      <c r="H4" s="9"/>
      <c r="I4" s="26" t="s">
        <v>144</v>
      </c>
      <c r="J4" s="26" t="s">
        <v>145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99</v>
      </c>
      <c r="B5" s="2" t="s">
        <v>98</v>
      </c>
      <c r="C5" s="2" t="s">
        <v>98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topLeftCell="B1" workbookViewId="0">
      <selection activeCell="I5" sqref="I5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105</v>
      </c>
      <c r="B2" s="46" t="s">
        <v>101</v>
      </c>
      <c r="C2" s="46" t="s">
        <v>101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106</v>
      </c>
      <c r="B3" s="46" t="s">
        <v>102</v>
      </c>
      <c r="C3" s="46" t="s">
        <v>102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107</v>
      </c>
      <c r="B4" s="46" t="s">
        <v>103</v>
      </c>
      <c r="C4" s="46" t="s">
        <v>103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108</v>
      </c>
      <c r="B5" s="46" t="s">
        <v>104</v>
      </c>
      <c r="C5" s="46" t="s">
        <v>104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topLeftCell="D1" workbookViewId="0">
      <selection activeCell="I2" sqref="I2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120</v>
      </c>
      <c r="B2" s="24" t="s">
        <v>147</v>
      </c>
      <c r="C2" s="9" t="s">
        <v>64</v>
      </c>
      <c r="D2" s="32"/>
      <c r="E2" s="32">
        <v>10</v>
      </c>
      <c r="F2" s="23"/>
      <c r="G2" s="24"/>
      <c r="H2" s="9"/>
      <c r="I2" s="26" t="str">
        <f t="shared" ref="I2:I7" si="0">LOWER($B2)</f>
        <v>matcha latte-ice matcha latte</v>
      </c>
      <c r="J2" s="26" t="str">
        <f t="shared" ref="J2:J7" si="1">LOWER($B2)&amp;"_"&amp;2</f>
        <v>matcha latte-ice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119</v>
      </c>
      <c r="B3" s="25" t="s">
        <v>112</v>
      </c>
      <c r="C3" s="25" t="s">
        <v>57</v>
      </c>
      <c r="D3" s="32">
        <v>250</v>
      </c>
      <c r="E3" s="32">
        <v>15</v>
      </c>
      <c r="G3" s="24"/>
      <c r="H3" s="9"/>
      <c r="I3" s="25" t="s">
        <v>143</v>
      </c>
      <c r="J3" s="25" t="s">
        <v>146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118</v>
      </c>
      <c r="B4" s="25" t="s">
        <v>111</v>
      </c>
      <c r="C4" s="25" t="s">
        <v>109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117</v>
      </c>
      <c r="B5" s="23" t="s">
        <v>110</v>
      </c>
      <c r="C5" s="23" t="s">
        <v>110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116</v>
      </c>
      <c r="B6" s="23" t="s">
        <v>113</v>
      </c>
      <c r="C6" s="23" t="s">
        <v>113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115</v>
      </c>
      <c r="B7" s="23" t="s">
        <v>114</v>
      </c>
      <c r="C7" s="23" t="s">
        <v>114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opLeftCell="C1" workbookViewId="0">
      <selection activeCell="I3" sqref="I3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125</v>
      </c>
      <c r="B2" s="1" t="s">
        <v>124</v>
      </c>
      <c r="C2" s="1" t="s">
        <v>124</v>
      </c>
      <c r="D2" s="41"/>
      <c r="E2" s="41" t="s">
        <v>121</v>
      </c>
      <c r="F2" s="1" t="s">
        <v>123</v>
      </c>
      <c r="G2" s="1" t="s">
        <v>126</v>
      </c>
      <c r="H2" s="1" t="s">
        <v>126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122</v>
      </c>
      <c r="B3" s="40" t="s">
        <v>151</v>
      </c>
      <c r="C3" s="40" t="s">
        <v>58</v>
      </c>
      <c r="D3" s="42"/>
      <c r="E3" s="41">
        <v>10</v>
      </c>
      <c r="F3" s="1"/>
      <c r="G3" s="1"/>
      <c r="H3" s="1"/>
      <c r="I3" s="9" t="str">
        <f t="shared" ref="I3:I5" si="0">LOWER($B3)</f>
        <v xml:space="preserve">masala </v>
      </c>
      <c r="J3" s="9" t="str">
        <f t="shared" ref="J3:J5" si="1">LOWER($B3)&amp;"_"&amp;2</f>
        <v>masala 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129</v>
      </c>
      <c r="B4" s="1" t="s">
        <v>127</v>
      </c>
      <c r="C4" s="1" t="s">
        <v>127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130</v>
      </c>
      <c r="B5" s="1" t="s">
        <v>128</v>
      </c>
      <c r="C5" s="1" t="s">
        <v>128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/>
      <c r="B17" s="54"/>
      <c r="C17" s="53"/>
      <c r="D17" s="54"/>
      <c r="E17" s="53"/>
      <c r="F17" s="53"/>
      <c r="G17" s="53"/>
      <c r="H17" s="55"/>
      <c r="I17" s="5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/>
      <c r="B18" s="53"/>
      <c r="C18" s="54"/>
      <c r="D18" s="54"/>
      <c r="E18" s="53"/>
      <c r="F18" s="53"/>
      <c r="G18" s="53"/>
      <c r="H18" s="55"/>
      <c r="I18" s="5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60</v>
      </c>
      <c r="B2" s="43" t="s">
        <v>60</v>
      </c>
      <c r="C2" s="43" t="s">
        <v>60</v>
      </c>
      <c r="D2" s="44"/>
      <c r="E2" s="45" t="s">
        <v>131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77</v>
      </c>
      <c r="B3" s="46" t="s">
        <v>77</v>
      </c>
      <c r="C3" s="46" t="s">
        <v>77</v>
      </c>
      <c r="D3" s="47">
        <v>750</v>
      </c>
      <c r="E3" s="47">
        <v>80</v>
      </c>
      <c r="F3" s="46" t="s">
        <v>83</v>
      </c>
      <c r="G3" s="46" t="s">
        <v>83</v>
      </c>
      <c r="H3" s="46" t="s">
        <v>83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79</v>
      </c>
      <c r="B4" s="46" t="s">
        <v>79</v>
      </c>
      <c r="C4" s="46" t="s">
        <v>79</v>
      </c>
      <c r="D4" s="47"/>
      <c r="E4" s="48" t="s">
        <v>131</v>
      </c>
      <c r="F4" s="46" t="s">
        <v>81</v>
      </c>
      <c r="G4" s="46" t="s">
        <v>81</v>
      </c>
      <c r="H4" s="46" t="s">
        <v>81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80</v>
      </c>
      <c r="B5" s="46" t="s">
        <v>80</v>
      </c>
      <c r="C5" s="46" t="s">
        <v>80</v>
      </c>
      <c r="D5" s="47"/>
      <c r="E5" s="47" t="s">
        <v>78</v>
      </c>
      <c r="F5" s="46" t="s">
        <v>81</v>
      </c>
      <c r="G5" s="46" t="s">
        <v>81</v>
      </c>
      <c r="H5" s="46" t="s">
        <v>81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59</v>
      </c>
      <c r="B6" s="46" t="s">
        <v>59</v>
      </c>
      <c r="C6" s="46" t="s">
        <v>59</v>
      </c>
      <c r="D6" s="47"/>
      <c r="E6" s="47" t="s">
        <v>132</v>
      </c>
      <c r="F6" s="46" t="s">
        <v>81</v>
      </c>
      <c r="G6" s="46" t="s">
        <v>81</v>
      </c>
      <c r="H6" s="46" t="s">
        <v>81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84</v>
      </c>
      <c r="B7" s="46" t="s">
        <v>84</v>
      </c>
      <c r="C7" s="46" t="s">
        <v>84</v>
      </c>
      <c r="D7" s="47"/>
      <c r="E7" s="47" t="s">
        <v>133</v>
      </c>
      <c r="F7" s="46" t="s">
        <v>82</v>
      </c>
      <c r="G7" s="46" t="s">
        <v>82</v>
      </c>
      <c r="H7" s="46" t="s">
        <v>82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85</v>
      </c>
      <c r="B8" s="46" t="s">
        <v>85</v>
      </c>
      <c r="C8" s="46" t="s">
        <v>85</v>
      </c>
      <c r="D8" s="47"/>
      <c r="E8" s="47" t="s">
        <v>78</v>
      </c>
      <c r="F8" s="46" t="s">
        <v>86</v>
      </c>
      <c r="G8" s="46" t="s">
        <v>86</v>
      </c>
      <c r="H8" s="46" t="s">
        <v>86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87</v>
      </c>
      <c r="B9" s="46" t="s">
        <v>87</v>
      </c>
      <c r="C9" s="46" t="s">
        <v>87</v>
      </c>
      <c r="D9" s="47"/>
      <c r="E9" s="47" t="s">
        <v>78</v>
      </c>
      <c r="F9" s="46" t="s">
        <v>88</v>
      </c>
      <c r="G9" s="46" t="s">
        <v>88</v>
      </c>
      <c r="H9" s="46" t="s">
        <v>88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C1" workbookViewId="0">
      <selection activeCell="I7" sqref="I7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89</v>
      </c>
      <c r="B2" s="50" t="s">
        <v>89</v>
      </c>
      <c r="C2" s="50" t="s">
        <v>89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134</v>
      </c>
      <c r="B3" s="52" t="s">
        <v>134</v>
      </c>
      <c r="C3" s="52" t="s">
        <v>134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135</v>
      </c>
      <c r="B4" s="52" t="s">
        <v>135</v>
      </c>
      <c r="C4" s="52" t="s">
        <v>135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136</v>
      </c>
      <c r="B5" s="52" t="s">
        <v>136</v>
      </c>
      <c r="C5" s="52" t="s">
        <v>136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137</v>
      </c>
      <c r="B6" s="52" t="s">
        <v>137</v>
      </c>
      <c r="C6" s="52" t="s">
        <v>137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138</v>
      </c>
      <c r="B7" s="52" t="s">
        <v>138</v>
      </c>
      <c r="C7" s="52" t="s">
        <v>138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2026-04-20T10:58:37Z</dcterms:modified>
</cp:coreProperties>
</file>