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11DCE340-1BA9-3F46-821D-5A1294997A63}" xr6:coauthVersionLast="47" xr6:coauthVersionMax="47" xr10:uidLastSave="{00000000-0000-0000-0000-000000000000}"/>
  <bookViews>
    <workbookView xWindow="1500" yWindow="600" windowWidth="16540" windowHeight="16260" firstSheet="1" activeTab="5" xr2:uid="{F5F1ECB2-7375-EA4E-90B2-38032701D38A}"/>
  </bookViews>
  <sheets>
    <sheet name="catalogs" sheetId="1" r:id="rId1"/>
    <sheet name="classic" sheetId="2" r:id="rId2"/>
    <sheet name="special" sheetId="3" r:id="rId3"/>
    <sheet name="ice drinks" sheetId="4" r:id="rId4"/>
    <sheet name="lemonade" sheetId="9" r:id="rId5"/>
    <sheet name="matcha" sheetId="5" r:id="rId6"/>
    <sheet name="tea" sheetId="11" r:id="rId7"/>
    <sheet name="wine card" sheetId="7" r:id="rId8"/>
    <sheet name="cocktail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/>
  <c r="I6" i="2"/>
  <c r="J7" i="3"/>
  <c r="I7" i="3"/>
  <c r="J7" i="8"/>
  <c r="I7" i="8"/>
  <c r="J3" i="11"/>
  <c r="J4" i="11"/>
  <c r="J5" i="11"/>
  <c r="I3" i="11"/>
  <c r="I4" i="11"/>
  <c r="I5" i="11"/>
  <c r="J2" i="11"/>
  <c r="I2" i="11"/>
  <c r="I7" i="5"/>
  <c r="J7" i="5"/>
  <c r="J5" i="9"/>
  <c r="I5" i="9"/>
  <c r="J4" i="9"/>
  <c r="I4" i="9"/>
  <c r="J3" i="9"/>
  <c r="I3" i="9"/>
  <c r="J2" i="9"/>
  <c r="I2" i="9"/>
  <c r="J5" i="4"/>
  <c r="I5" i="4"/>
  <c r="I5" i="7"/>
  <c r="I4" i="7"/>
  <c r="J3" i="8"/>
  <c r="J4" i="8"/>
  <c r="J5" i="8"/>
  <c r="J6" i="8"/>
  <c r="I3" i="8"/>
  <c r="I4" i="8"/>
  <c r="I5" i="8"/>
  <c r="I6" i="8"/>
  <c r="J2" i="8"/>
  <c r="I2" i="8"/>
  <c r="I9" i="7"/>
  <c r="J8" i="7"/>
  <c r="J9" i="7"/>
  <c r="J3" i="7"/>
  <c r="J4" i="7"/>
  <c r="J5" i="7"/>
  <c r="J6" i="7"/>
  <c r="J7" i="7"/>
  <c r="I3" i="7"/>
  <c r="I6" i="7"/>
  <c r="I7" i="7"/>
  <c r="I8" i="7"/>
  <c r="J2" i="7"/>
  <c r="I2" i="7"/>
  <c r="J2" i="5"/>
  <c r="I2" i="5"/>
  <c r="J3" i="3"/>
  <c r="I3" i="3"/>
  <c r="J2" i="3"/>
  <c r="J2" i="4"/>
  <c r="I2" i="3"/>
  <c r="I5" i="5"/>
  <c r="I6" i="3"/>
  <c r="J6" i="3"/>
  <c r="I2" i="4"/>
  <c r="I3" i="4"/>
  <c r="J3" i="4"/>
  <c r="I4" i="5"/>
  <c r="J4" i="5"/>
  <c r="J5" i="5"/>
  <c r="I6" i="5"/>
  <c r="J6" i="5"/>
</calcChain>
</file>

<file path=xl/sharedStrings.xml><?xml version="1.0" encoding="utf-8"?>
<sst xmlns="http://schemas.openxmlformats.org/spreadsheetml/2006/main" count="290" uniqueCount="152">
  <si>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</si>
  <si>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</si>
  <si>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</si>
  <si>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</si>
  <si>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</si>
  <si>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</si>
  <si>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</si>
  <si>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</si>
  <si>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</si>
  <si>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</si>
  <si>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</si>
  <si>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матча</t>
  </si>
  <si>
    <t>matcha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</si>
  <si>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</si>
  <si>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</si>
  <si>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</si>
  <si>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</si>
  <si>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</si>
  <si>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</si>
  <si>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</si>
  <si>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</si>
  <si>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</si>
  <si>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</si>
  <si>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</si>
  <si>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</si>
  <si>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</si>
  <si>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</si>
  <si>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</si>
  <si>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</si>
  <si>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</si>
  <si>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</si>
  <si>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</si>
  <si>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</si>
  <si>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</si>
  <si>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</si>
  <si>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Американо</t>
  </si>
  <si>
    <t>Americano</t>
  </si>
  <si>
    <t>ამერიკანო</t>
  </si>
  <si>
    <t>Капучино</t>
  </si>
  <si>
    <t>Cappuccino</t>
  </si>
  <si>
    <t>კაპუჩინო</t>
  </si>
  <si>
    <t>Флэт Уайт</t>
  </si>
  <si>
    <t>Flat white</t>
  </si>
  <si>
    <t>ფლეთ ვაითი</t>
  </si>
  <si>
    <t>ლატე</t>
  </si>
  <si>
    <t>Фильтр кофе</t>
  </si>
  <si>
    <t>filter coffee</t>
  </si>
  <si>
    <t>ფილტრ ყავა</t>
  </si>
  <si>
    <t>200/300</t>
  </si>
  <si>
    <t>V60</t>
  </si>
  <si>
    <t>Раф</t>
  </si>
  <si>
    <t>Raf</t>
  </si>
  <si>
    <t>რაფი</t>
  </si>
  <si>
    <t>Какао</t>
  </si>
  <si>
    <t>Cocoa</t>
  </si>
  <si>
    <t>კაკაო</t>
  </si>
  <si>
    <t>Бамбл</t>
  </si>
  <si>
    <t>Bumble</t>
  </si>
  <si>
    <t>მაჩა ფორთოხლით</t>
  </si>
  <si>
    <t>მასალა</t>
  </si>
  <si>
    <t>Marlborough Sun Sauvignon Blanc</t>
  </si>
  <si>
    <t>Blanc de Blancs</t>
  </si>
  <si>
    <t>ესპრესო ტონუკი</t>
  </si>
  <si>
    <t>ბამბლ</t>
  </si>
  <si>
    <t>მატჩა</t>
  </si>
  <si>
    <t>მატჩა/ცივი მატჩა</t>
  </si>
  <si>
    <t>espresso2_2</t>
  </si>
  <si>
    <t>espresso2</t>
  </si>
  <si>
    <t>americano2</t>
  </si>
  <si>
    <t>americano2_2</t>
  </si>
  <si>
    <t>cappuccino2</t>
  </si>
  <si>
    <t>cappuccino2_2</t>
  </si>
  <si>
    <t>flat white2</t>
  </si>
  <si>
    <t>flat white2_2</t>
  </si>
  <si>
    <t>raf2</t>
  </si>
  <si>
    <t>raf2_2</t>
  </si>
  <si>
    <t>cocoa2</t>
  </si>
  <si>
    <t>cocoa_2</t>
  </si>
  <si>
    <t>Blue Dankey Pet-Nat</t>
  </si>
  <si>
    <t>15/80</t>
  </si>
  <si>
    <t>Esteban Martin Chardonnay</t>
  </si>
  <si>
    <t>Marbano kisi</t>
  </si>
  <si>
    <t>Dry white wine</t>
  </si>
  <si>
    <t>Semi sweet white wine</t>
  </si>
  <si>
    <t>Kakhuri Mtsvane brut</t>
  </si>
  <si>
    <t>Queen Tvishi</t>
  </si>
  <si>
    <t>Esteban Martin Garnacha</t>
  </si>
  <si>
    <t xml:space="preserve">Dry red wine Garnacha Syrah tempranillo </t>
  </si>
  <si>
    <t>Kindzmarauli</t>
  </si>
  <si>
    <t>Semi sweet red wine</t>
  </si>
  <si>
    <t>Aperol Spritz</t>
  </si>
  <si>
    <t>Лимонады</t>
  </si>
  <si>
    <t>lemonade</t>
  </si>
  <si>
    <t>10/12</t>
  </si>
  <si>
    <t>8/10</t>
  </si>
  <si>
    <t>бейлис мокка</t>
  </si>
  <si>
    <t>baileys mocha</t>
  </si>
  <si>
    <t>Affogato</t>
  </si>
  <si>
    <t xml:space="preserve">Espresso tonic </t>
  </si>
  <si>
    <t xml:space="preserve">Эспрессо тоник </t>
  </si>
  <si>
    <t>Espresso tonic cherry</t>
  </si>
  <si>
    <t>Вишневый Эспрессо Тоник</t>
  </si>
  <si>
    <t>Аффогато</t>
  </si>
  <si>
    <t>Pear Aloe Lemonade</t>
  </si>
  <si>
    <t>Mango Chili Lemonade</t>
  </si>
  <si>
    <t>Cucumber Mint Lemonade</t>
  </si>
  <si>
    <t>Citrus Garden Lemonade</t>
  </si>
  <si>
    <t>Груша Алое Лимонад</t>
  </si>
  <si>
    <t>Манго Чили Лимонад</t>
  </si>
  <si>
    <t>Огурец Мята Лимонад</t>
  </si>
  <si>
    <t>Цитрус Гарден Лимонад</t>
  </si>
  <si>
    <t>matcha affogato</t>
  </si>
  <si>
    <t>Ice matcha strawberry</t>
  </si>
  <si>
    <t>Matcha affogato</t>
  </si>
  <si>
    <t>Matcha orange</t>
  </si>
  <si>
    <t>Matcha latte / ice matcha latte</t>
  </si>
  <si>
    <t>Ice matcha cranberry</t>
  </si>
  <si>
    <t>Ice matca Mango Coconut</t>
  </si>
  <si>
    <t>Холодная матча манго-кокос</t>
  </si>
  <si>
    <t>Холодная клюквенная матча</t>
  </si>
  <si>
    <t>Холодная клубничная матча</t>
  </si>
  <si>
    <t>Матча аффогато</t>
  </si>
  <si>
    <t>Матча апельсин</t>
  </si>
  <si>
    <t>Матча латте / Холодная матча</t>
  </si>
  <si>
    <t>7/10</t>
  </si>
  <si>
    <t>Масала</t>
  </si>
  <si>
    <t>Ассам, сенча, травяной чай, эрл грей, фруктовый, молочный улун, фруктовый чай</t>
  </si>
  <si>
    <t>Tea selection</t>
  </si>
  <si>
    <t>Чайная коллекция</t>
  </si>
  <si>
    <t>Assam, Sencha, herbal tea, Earl Grey, fruit tea, milk oolong, fruit tea</t>
  </si>
  <si>
    <t>Iced black tea with peach</t>
  </si>
  <si>
    <t>Iced green tea with mango</t>
  </si>
  <si>
    <t>Холодный черный чай с персиком</t>
  </si>
  <si>
    <t>Холодный зелёный чай с манго</t>
  </si>
  <si>
    <t>12/65</t>
  </si>
  <si>
    <t>18/95</t>
  </si>
  <si>
    <t>16/85</t>
  </si>
  <si>
    <t>Aloe Glass</t>
  </si>
  <si>
    <t>Amber Peach</t>
  </si>
  <si>
    <t>Botanical Mist</t>
  </si>
  <si>
    <t>Flora Glow</t>
  </si>
  <si>
    <t>Mango Rose</t>
  </si>
  <si>
    <t>Апельсиновый фреш</t>
  </si>
  <si>
    <t>Orange juice</t>
  </si>
  <si>
    <t>14</t>
  </si>
  <si>
    <t>Masala</t>
  </si>
  <si>
    <t>Латте/ Холодный Латте</t>
  </si>
  <si>
    <t>matcha orange3</t>
  </si>
  <si>
    <t>bumble4</t>
  </si>
  <si>
    <t>bumble4_2</t>
  </si>
  <si>
    <t>matcha orange3_2</t>
  </si>
  <si>
    <t>Latte/Ice Latte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</si>
</sst>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Inherit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4"/>
      <color theme="1"/>
      <name val="Calibri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color theme="1"/>
      <name val="Inherit"/>
    </font>
    <font>
      <sz val="12"/>
      <color theme="1"/>
      <name val="Helvetica Neue"/>
      <family val="2"/>
    </font>
    <font>
      <sz val="12"/>
      <color theme="1"/>
      <name val="&quot;Helvetica Neue&quot;"/>
    </font>
    <font>
      <sz val="14"/>
      <color rgb="FF000000"/>
      <name val="Calibri"/>
      <family val="2"/>
      <charset val="1"/>
    </font>
    <font>
      <sz val="8"/>
      <name val="Calibri"/>
      <family val="2"/>
      <charset val="204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rgb="FF333333"/>
      <name val="Calibri"/>
      <family val="2"/>
      <scheme val="minor"/>
    </font>
    <font>
      <sz val="13"/>
      <color rgb="FF1F1F1F"/>
      <name val="Helvetica Neue"/>
      <family val="2"/>
    </font>
    <font>
      <sz val="14"/>
      <color rgb="FF1F1F1F"/>
      <name val="Calibri"/>
      <family val="2"/>
      <scheme val="minor"/>
    </font>
    <font>
      <sz val="12"/>
      <color rgb="FF1F1F1F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7" fillId="2" borderId="0" xfId="0" applyFont="1" applyFill="1"/>
    <xf numFmtId="0" fontId="9" fillId="0" borderId="0" xfId="0" applyFont="1"/>
    <xf numFmtId="0" fontId="10" fillId="0" borderId="0" xfId="0" applyFont="1"/>
    <xf numFmtId="49" fontId="5" fillId="0" borderId="0" xfId="0" applyNumberFormat="1" applyFont="1"/>
    <xf numFmtId="0" fontId="11" fillId="0" borderId="0" xfId="0" applyFont="1"/>
    <xf numFmtId="0" fontId="6" fillId="0" borderId="0" xfId="0" applyFont="1" applyAlignment="1">
      <alignment horizontal="left"/>
    </xf>
    <xf numFmtId="0" fontId="12" fillId="2" borderId="0" xfId="0" applyFont="1" applyFill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horizontal="left"/>
    </xf>
    <xf numFmtId="0" fontId="20" fillId="0" borderId="0" xfId="0" applyFont="1"/>
    <xf numFmtId="0" fontId="21" fillId="0" borderId="0" xfId="0" applyFont="1"/>
    <xf numFmtId="0" fontId="22" fillId="0" borderId="0" xfId="0" applyFont="1"/>
    <xf numFmtId="49" fontId="22" fillId="0" borderId="0" xfId="0" applyNumberFormat="1" applyFont="1"/>
    <xf numFmtId="49" fontId="22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0" xfId="0" applyFont="1"/>
    <xf numFmtId="0" fontId="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49" fontId="25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2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4847-0584-3D49-AD2E-DCCB5D326CC8}">
  <dimension ref="A1:C10"/>
  <sheetViews>
    <sheetView workbookViewId="0">
      <selection activeCell="D23" sqref="D23"/>
    </sheetView>
  </sheetViews>
  <sheetFormatPr baseColWidth="10" defaultColWidth="12.6640625" defaultRowHeight="15.75" customHeight="1"/>
  <cols>
    <col min="3" max="3" width="14" customWidth="1"/>
  </cols>
  <sheetData>
    <row r="1" spans="1:3" ht="19">
      <c r="A1" s="8" t="s">
        <v>0</v>
      </c>
      <c r="B1" s="8" t="s">
        <v>1</v>
      </c>
      <c r="C1" s="8" t="s">
        <v>2</v>
      </c>
    </row>
    <row r="2" spans="1:3" ht="16">
      <c r="A2" s="10" t="s">
        <v>3</v>
      </c>
      <c r="B2" s="11" t="s">
        <v>4</v>
      </c>
      <c r="C2" s="12" t="s">
        <v>5</v>
      </c>
    </row>
    <row r="3" spans="1:3" ht="16">
      <c r="A3" s="10" t="s">
        <v>6</v>
      </c>
      <c r="B3" s="10" t="s">
        <v>7</v>
      </c>
      <c r="C3" s="12" t="s">
        <v>8</v>
      </c>
    </row>
    <row r="4" spans="1:3" ht="16">
      <c r="A4" s="10" t="s">
        <v>9</v>
      </c>
      <c r="B4" s="10" t="s">
        <v>10</v>
      </c>
      <c r="C4" s="10" t="s">
        <v>10</v>
      </c>
    </row>
    <row r="5" spans="1:3" ht="16">
      <c r="A5" s="10" t="s">
        <v>91</v>
      </c>
      <c r="B5" s="10" t="s">
        <v>92</v>
      </c>
      <c r="C5" s="10" t="s">
        <v>92</v>
      </c>
    </row>
    <row r="6" spans="1:3" ht="16">
      <c r="A6" s="10" t="s">
        <v>11</v>
      </c>
      <c r="B6" s="10" t="s">
        <v>12</v>
      </c>
      <c r="C6" s="10" t="s">
        <v>64</v>
      </c>
    </row>
    <row r="7" spans="1:3" ht="16">
      <c r="A7" s="10" t="s">
        <v>13</v>
      </c>
      <c r="B7" s="10" t="s">
        <v>14</v>
      </c>
      <c r="C7" s="13" t="s">
        <v>15</v>
      </c>
    </row>
    <row r="8" spans="1:3" ht="16">
      <c r="A8" s="10" t="s">
        <v>16</v>
      </c>
      <c r="B8" s="10" t="s">
        <v>17</v>
      </c>
      <c r="C8" s="10" t="s">
        <v>18</v>
      </c>
    </row>
    <row r="9" spans="1:3" ht="16">
      <c r="A9" s="10" t="s">
        <v>19</v>
      </c>
      <c r="B9" s="10" t="s">
        <v>20</v>
      </c>
      <c r="C9" s="10" t="s">
        <v>21</v>
      </c>
    </row>
    <row r="10" spans="1:3" ht="15.75" customHeight="1">
      <c r="A10" s="10"/>
      <c r="B10" s="10"/>
      <c r="C1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C3CA-21C6-5843-8D52-23CDEC7752AE}">
  <dimension ref="A1:M1000"/>
  <sheetViews>
    <sheetView topLeftCell="E1" workbookViewId="0">
      <selection activeCell="I6" sqref="I6"/>
    </sheetView>
  </sheetViews>
  <sheetFormatPr baseColWidth="10" defaultColWidth="12.6640625" defaultRowHeight="16"/>
  <cols>
    <col min="1" max="1" width="17.1640625" customWidth="1"/>
    <col min="2" max="2" width="18.1640625" customWidth="1"/>
    <col min="3" max="3" width="18.83203125" customWidth="1"/>
    <col min="4" max="4" width="16.1640625" customWidth="1"/>
    <col min="5" max="5" width="12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8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</row>
    <row r="2" spans="1:13" s="9" customFormat="1">
      <c r="A2" s="9" t="s">
        <v>32</v>
      </c>
      <c r="B2" s="16" t="s">
        <v>33</v>
      </c>
      <c r="C2" s="9" t="s">
        <v>34</v>
      </c>
      <c r="D2" s="36"/>
      <c r="E2" s="37">
        <v>7</v>
      </c>
      <c r="F2" s="16"/>
      <c r="G2" s="16"/>
      <c r="I2" s="16" t="s">
        <v>67</v>
      </c>
      <c r="J2" s="16" t="s">
        <v>66</v>
      </c>
      <c r="L2" s="18"/>
      <c r="M2" s="18"/>
    </row>
    <row r="3" spans="1:13" s="9" customFormat="1">
      <c r="A3" s="9" t="s">
        <v>35</v>
      </c>
      <c r="B3" s="16" t="s">
        <v>36</v>
      </c>
      <c r="C3" s="9" t="s">
        <v>37</v>
      </c>
      <c r="D3" s="36"/>
      <c r="E3" s="37">
        <v>7</v>
      </c>
      <c r="G3" s="16"/>
      <c r="I3" s="16" t="s">
        <v>68</v>
      </c>
      <c r="J3" s="16" t="s">
        <v>69</v>
      </c>
    </row>
    <row r="4" spans="1:13" s="9" customFormat="1">
      <c r="A4" s="9" t="s">
        <v>38</v>
      </c>
      <c r="B4" s="16" t="s">
        <v>39</v>
      </c>
      <c r="C4" s="9" t="s">
        <v>40</v>
      </c>
      <c r="D4" s="36" t="s">
        <v>48</v>
      </c>
      <c r="E4" s="37" t="s">
        <v>93</v>
      </c>
      <c r="G4" s="16"/>
      <c r="I4" s="16" t="s">
        <v>70</v>
      </c>
      <c r="J4" s="16" t="s">
        <v>71</v>
      </c>
    </row>
    <row r="5" spans="1:13" s="9" customFormat="1">
      <c r="A5" s="9" t="s">
        <v>41</v>
      </c>
      <c r="B5" s="16" t="s">
        <v>42</v>
      </c>
      <c r="C5" s="9" t="s">
        <v>43</v>
      </c>
      <c r="D5" s="36"/>
      <c r="E5" s="37">
        <v>11</v>
      </c>
      <c r="G5" s="16"/>
      <c r="I5" s="16" t="s">
        <v>72</v>
      </c>
      <c r="J5" s="16" t="s">
        <v>73</v>
      </c>
    </row>
    <row r="6" spans="1:13" s="9" customFormat="1">
      <c r="A6" s="9" t="s">
        <v>146</v>
      </c>
      <c r="B6" s="16" t="s">
        <v>151</v>
      </c>
      <c r="C6" s="9" t="s">
        <v>44</v>
      </c>
      <c r="D6" s="36"/>
      <c r="E6" s="37">
        <v>11</v>
      </c>
      <c r="G6" s="16"/>
      <c r="I6" s="17" t="str">
        <f t="shared" ref="I6" si="0">LOWER($B6)</f>
        <v>latte/ice latte</v>
      </c>
      <c r="J6" s="17" t="str">
        <f t="shared" ref="J6" si="1">LOWER($B6)&amp;"_"&amp;2</f>
        <v>latte/ice latte_2</v>
      </c>
    </row>
    <row r="7" spans="1:13" ht="15.75" customHeight="1">
      <c r="A7" s="1"/>
      <c r="B7" s="3"/>
      <c r="C7" s="2"/>
      <c r="D7" s="4"/>
      <c r="E7" s="3"/>
      <c r="F7" s="1"/>
      <c r="G7" s="3"/>
      <c r="H7" s="2"/>
      <c r="I7" s="5"/>
      <c r="J7" s="5"/>
    </row>
    <row r="8" spans="1:13" ht="15.75" customHeight="1">
      <c r="D8" s="6"/>
      <c r="E8" s="6"/>
    </row>
    <row r="9" spans="1:13" ht="15.75" customHeight="1">
      <c r="D9" s="6"/>
      <c r="E9" s="6"/>
    </row>
    <row r="10" spans="1:13" ht="15.75" customHeight="1">
      <c r="D10" s="6"/>
      <c r="E10" s="6"/>
    </row>
    <row r="11" spans="1:13" ht="15.75" customHeight="1">
      <c r="D11" s="6"/>
      <c r="E11" s="6"/>
    </row>
    <row r="12" spans="1:13" ht="15.75" customHeight="1">
      <c r="D12" s="6"/>
      <c r="E12" s="6"/>
    </row>
    <row r="13" spans="1:13" ht="15.75" customHeight="1">
      <c r="D13" s="6"/>
      <c r="E13" s="6"/>
    </row>
    <row r="14" spans="1:13" ht="15.75" customHeight="1">
      <c r="D14" s="6"/>
      <c r="E14" s="6"/>
    </row>
    <row r="15" spans="1:13" ht="15.75" customHeight="1">
      <c r="D15" s="6"/>
      <c r="E15" s="6"/>
    </row>
    <row r="16" spans="1:13" ht="15.75" customHeight="1">
      <c r="D16" s="6"/>
      <c r="E16" s="6"/>
    </row>
    <row r="17" spans="4:5" ht="15.75" customHeight="1">
      <c r="D17" s="6"/>
      <c r="E17" s="6"/>
    </row>
    <row r="18" spans="4:5" ht="15.75" customHeight="1">
      <c r="D18" s="6"/>
      <c r="E18" s="6"/>
    </row>
    <row r="19" spans="4:5" ht="15.75" customHeight="1">
      <c r="D19" s="6"/>
      <c r="E19" s="6"/>
    </row>
    <row r="20" spans="4:5" ht="15.75" customHeight="1">
      <c r="D20" s="6"/>
      <c r="E20" s="6"/>
    </row>
    <row r="21" spans="4:5" ht="15.75" customHeight="1">
      <c r="D21" s="6"/>
      <c r="E21" s="6"/>
    </row>
    <row r="22" spans="4:5" ht="15.75" customHeight="1">
      <c r="D22" s="6"/>
      <c r="E22" s="6"/>
    </row>
    <row r="23" spans="4:5" ht="15.75" customHeight="1">
      <c r="D23" s="6"/>
      <c r="E23" s="6"/>
    </row>
    <row r="24" spans="4:5" ht="15.75" customHeight="1">
      <c r="D24" s="6"/>
      <c r="E24" s="6"/>
    </row>
    <row r="25" spans="4:5" ht="15.75" customHeight="1">
      <c r="D25" s="6"/>
      <c r="E25" s="6"/>
    </row>
    <row r="26" spans="4:5" ht="15.75" customHeight="1">
      <c r="D26" s="6"/>
      <c r="E26" s="6"/>
    </row>
    <row r="27" spans="4:5" ht="15.75" customHeight="1">
      <c r="D27" s="6"/>
      <c r="E27" s="6"/>
    </row>
    <row r="28" spans="4:5" ht="15.75" customHeight="1">
      <c r="D28" s="6"/>
      <c r="E28" s="6"/>
    </row>
    <row r="29" spans="4:5" ht="15.75" customHeight="1">
      <c r="D29" s="6"/>
      <c r="E29" s="6"/>
    </row>
    <row r="30" spans="4:5" ht="15.75" customHeight="1">
      <c r="D30" s="6"/>
      <c r="E30" s="6"/>
    </row>
    <row r="31" spans="4:5" ht="15.75" customHeight="1">
      <c r="D31" s="6"/>
      <c r="E31" s="6"/>
    </row>
    <row r="32" spans="4:5" ht="15.75" customHeight="1">
      <c r="D32" s="6"/>
      <c r="E32" s="6"/>
    </row>
    <row r="33" spans="4:5" ht="15.75" customHeight="1">
      <c r="D33" s="6"/>
      <c r="E33" s="6"/>
    </row>
    <row r="34" spans="4:5" ht="15.75" customHeight="1">
      <c r="D34" s="6"/>
      <c r="E34" s="6"/>
    </row>
    <row r="35" spans="4:5" ht="15.75" customHeight="1">
      <c r="D35" s="6"/>
      <c r="E35" s="6"/>
    </row>
    <row r="36" spans="4:5" ht="15.75" customHeight="1">
      <c r="D36" s="6"/>
      <c r="E36" s="6"/>
    </row>
    <row r="37" spans="4:5" ht="15.75" customHeight="1">
      <c r="D37" s="6"/>
      <c r="E37" s="6"/>
    </row>
    <row r="38" spans="4:5" ht="15.75" customHeight="1">
      <c r="D38" s="6"/>
      <c r="E38" s="6"/>
    </row>
    <row r="39" spans="4:5" ht="15.75" customHeight="1">
      <c r="D39" s="6"/>
      <c r="E39" s="6"/>
    </row>
    <row r="40" spans="4:5" ht="15.75" customHeight="1">
      <c r="D40" s="6"/>
      <c r="E40" s="6"/>
    </row>
    <row r="41" spans="4:5" ht="15.75" customHeight="1">
      <c r="D41" s="6"/>
      <c r="E41" s="6"/>
    </row>
    <row r="42" spans="4:5" ht="15.75" customHeight="1">
      <c r="D42" s="6"/>
      <c r="E42" s="6"/>
    </row>
    <row r="43" spans="4:5" ht="15.75" customHeight="1">
      <c r="D43" s="6"/>
      <c r="E43" s="6"/>
    </row>
    <row r="44" spans="4:5" ht="15.75" customHeight="1">
      <c r="D44" s="6"/>
      <c r="E44" s="6"/>
    </row>
    <row r="45" spans="4:5" ht="15.75" customHeight="1">
      <c r="D45" s="6"/>
      <c r="E45" s="6"/>
    </row>
    <row r="46" spans="4:5" ht="15.75" customHeight="1">
      <c r="D46" s="6"/>
      <c r="E46" s="6"/>
    </row>
    <row r="47" spans="4:5" ht="15.75" customHeight="1">
      <c r="D47" s="6"/>
      <c r="E47" s="6"/>
    </row>
    <row r="48" spans="4:5">
      <c r="D48" s="6"/>
      <c r="E48" s="6"/>
    </row>
    <row r="49" spans="4:5">
      <c r="D49" s="6"/>
      <c r="E49" s="6"/>
    </row>
    <row r="50" spans="4:5">
      <c r="D50" s="6"/>
      <c r="E50" s="6"/>
    </row>
    <row r="51" spans="4:5">
      <c r="D51" s="6"/>
      <c r="E51" s="6"/>
    </row>
    <row r="52" spans="4:5">
      <c r="D52" s="6"/>
      <c r="E52" s="6"/>
    </row>
    <row r="53" spans="4:5">
      <c r="D53" s="6"/>
      <c r="E53" s="6"/>
    </row>
    <row r="54" spans="4:5">
      <c r="D54" s="6"/>
      <c r="E54" s="6"/>
    </row>
    <row r="55" spans="4:5">
      <c r="D55" s="6"/>
      <c r="E55" s="6"/>
    </row>
    <row r="56" spans="4:5">
      <c r="D56" s="6"/>
      <c r="E56" s="6"/>
    </row>
    <row r="57" spans="4:5">
      <c r="D57" s="6"/>
      <c r="E57" s="6"/>
    </row>
    <row r="58" spans="4:5">
      <c r="D58" s="6"/>
      <c r="E58" s="6"/>
    </row>
    <row r="59" spans="4:5">
      <c r="D59" s="6"/>
      <c r="E59" s="6"/>
    </row>
    <row r="60" spans="4:5">
      <c r="D60" s="6"/>
      <c r="E60" s="6"/>
    </row>
    <row r="61" spans="4:5">
      <c r="D61" s="6"/>
      <c r="E61" s="6"/>
    </row>
    <row r="62" spans="4:5">
      <c r="D62" s="6"/>
      <c r="E62" s="6"/>
    </row>
    <row r="63" spans="4:5">
      <c r="D63" s="6"/>
      <c r="E63" s="6"/>
    </row>
    <row r="64" spans="4:5">
      <c r="D64" s="6"/>
      <c r="E64" s="6"/>
    </row>
    <row r="65" spans="4:5">
      <c r="D65" s="6"/>
      <c r="E65" s="6"/>
    </row>
    <row r="66" spans="4:5">
      <c r="D66" s="6"/>
      <c r="E66" s="6"/>
    </row>
    <row r="67" spans="4:5">
      <c r="D67" s="6"/>
      <c r="E67" s="6"/>
    </row>
    <row r="68" spans="4:5">
      <c r="D68" s="6"/>
      <c r="E68" s="6"/>
    </row>
    <row r="69" spans="4:5">
      <c r="D69" s="6"/>
      <c r="E69" s="6"/>
    </row>
    <row r="70" spans="4:5">
      <c r="D70" s="6"/>
      <c r="E70" s="6"/>
    </row>
    <row r="71" spans="4:5">
      <c r="D71" s="6"/>
      <c r="E71" s="6"/>
    </row>
    <row r="72" spans="4:5">
      <c r="D72" s="6"/>
      <c r="E72" s="6"/>
    </row>
    <row r="73" spans="4:5">
      <c r="D73" s="6"/>
      <c r="E73" s="6"/>
    </row>
    <row r="74" spans="4:5">
      <c r="D74" s="6"/>
      <c r="E74" s="6"/>
    </row>
    <row r="75" spans="4:5">
      <c r="D75" s="6"/>
      <c r="E75" s="6"/>
    </row>
    <row r="76" spans="4:5">
      <c r="D76" s="6"/>
      <c r="E76" s="6"/>
    </row>
    <row r="77" spans="4:5">
      <c r="D77" s="6"/>
      <c r="E77" s="6"/>
    </row>
    <row r="78" spans="4:5">
      <c r="D78" s="6"/>
      <c r="E78" s="6"/>
    </row>
    <row r="79" spans="4:5">
      <c r="D79" s="6"/>
      <c r="E79" s="6"/>
    </row>
    <row r="80" spans="4:5">
      <c r="D80" s="6"/>
      <c r="E80" s="6"/>
    </row>
    <row r="81" spans="4:5">
      <c r="D81" s="6"/>
      <c r="E81" s="6"/>
    </row>
    <row r="82" spans="4:5">
      <c r="D82" s="6"/>
      <c r="E82" s="6"/>
    </row>
    <row r="83" spans="4:5">
      <c r="D83" s="6"/>
      <c r="E83" s="6"/>
    </row>
    <row r="84" spans="4:5">
      <c r="D84" s="6"/>
      <c r="E84" s="6"/>
    </row>
    <row r="85" spans="4:5">
      <c r="D85" s="6"/>
      <c r="E85" s="6"/>
    </row>
    <row r="86" spans="4:5">
      <c r="D86" s="6"/>
      <c r="E86" s="6"/>
    </row>
    <row r="87" spans="4:5">
      <c r="D87" s="6"/>
      <c r="E87" s="6"/>
    </row>
    <row r="88" spans="4:5">
      <c r="D88" s="6"/>
      <c r="E88" s="6"/>
    </row>
    <row r="89" spans="4:5">
      <c r="D89" s="6"/>
      <c r="E89" s="6"/>
    </row>
    <row r="90" spans="4:5">
      <c r="D90" s="6"/>
      <c r="E90" s="6"/>
    </row>
    <row r="91" spans="4:5">
      <c r="D91" s="6"/>
      <c r="E91" s="6"/>
    </row>
    <row r="92" spans="4:5">
      <c r="D92" s="6"/>
      <c r="E92" s="6"/>
    </row>
    <row r="93" spans="4:5">
      <c r="D93" s="6"/>
      <c r="E93" s="6"/>
    </row>
    <row r="94" spans="4:5">
      <c r="D94" s="6"/>
      <c r="E94" s="6"/>
    </row>
    <row r="95" spans="4:5">
      <c r="D95" s="6"/>
      <c r="E95" s="6"/>
    </row>
    <row r="96" spans="4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  <row r="999" spans="4:5">
      <c r="D999" s="6"/>
      <c r="E999" s="6"/>
    </row>
    <row r="1000" spans="4:5">
      <c r="D1000" s="6"/>
      <c r="E10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9A77-991A-9247-A171-51887EA2E9AE}">
  <dimension ref="A1:AA993"/>
  <sheetViews>
    <sheetView topLeftCell="C1" workbookViewId="0">
      <selection activeCell="G34" sqref="G34"/>
    </sheetView>
  </sheetViews>
  <sheetFormatPr baseColWidth="10" defaultColWidth="12.6640625" defaultRowHeight="16"/>
  <cols>
    <col min="1" max="1" width="24" customWidth="1"/>
    <col min="2" max="2" width="20.3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9" t="s">
        <v>45</v>
      </c>
      <c r="B2" s="9" t="s">
        <v>46</v>
      </c>
      <c r="C2" s="9" t="s">
        <v>47</v>
      </c>
      <c r="D2" s="35" t="s">
        <v>48</v>
      </c>
      <c r="E2" s="33" t="s">
        <v>94</v>
      </c>
      <c r="I2" s="9" t="str">
        <f>LOWER($B2)</f>
        <v>filter coffee</v>
      </c>
      <c r="J2" s="9" t="str">
        <f>LOWER($B2)&amp;"_"&amp;2</f>
        <v>filter coffee_2</v>
      </c>
    </row>
    <row r="3" spans="1:27" s="9" customFormat="1">
      <c r="A3" s="9" t="s">
        <v>49</v>
      </c>
      <c r="B3" s="9" t="s">
        <v>49</v>
      </c>
      <c r="C3" s="9" t="s">
        <v>49</v>
      </c>
      <c r="D3" s="35"/>
      <c r="E3" s="33" t="s">
        <v>93</v>
      </c>
      <c r="I3" s="9" t="str">
        <f>LOWER($B3)</f>
        <v>v60</v>
      </c>
      <c r="J3" s="9" t="str">
        <f>LOWER($B3)&amp;"_"&amp;2</f>
        <v>v60_2</v>
      </c>
    </row>
    <row r="4" spans="1:27" s="9" customFormat="1">
      <c r="A4" s="9" t="s">
        <v>50</v>
      </c>
      <c r="B4" s="9" t="s">
        <v>51</v>
      </c>
      <c r="C4" s="9" t="s">
        <v>52</v>
      </c>
      <c r="D4" s="35"/>
      <c r="E4" s="33">
        <v>13</v>
      </c>
      <c r="I4" s="9" t="s">
        <v>74</v>
      </c>
      <c r="J4" s="9" t="s">
        <v>75</v>
      </c>
    </row>
    <row r="5" spans="1:27" s="9" customFormat="1">
      <c r="A5" s="9" t="s">
        <v>53</v>
      </c>
      <c r="B5" s="9" t="s">
        <v>54</v>
      </c>
      <c r="C5" s="9" t="s">
        <v>55</v>
      </c>
      <c r="D5" s="35"/>
      <c r="E5" s="33">
        <v>10</v>
      </c>
      <c r="I5" s="9" t="s">
        <v>76</v>
      </c>
      <c r="J5" s="9" t="s">
        <v>77</v>
      </c>
    </row>
    <row r="6" spans="1:27" s="9" customFormat="1">
      <c r="A6" s="16" t="s">
        <v>95</v>
      </c>
      <c r="B6" s="16" t="s">
        <v>96</v>
      </c>
      <c r="C6" s="16" t="s">
        <v>96</v>
      </c>
      <c r="D6" s="35"/>
      <c r="E6" s="33">
        <v>16</v>
      </c>
      <c r="I6" s="17" t="str">
        <f t="shared" ref="I6:I7" si="0">LOWER($B6)</f>
        <v>baileys mocha</v>
      </c>
      <c r="J6" s="17" t="str">
        <f t="shared" ref="J6:J7" si="1">LOWER($B6)&amp;"_"&amp;2</f>
        <v>baileys mocha_2</v>
      </c>
    </row>
    <row r="7" spans="1:27" ht="19">
      <c r="A7" s="29" t="s">
        <v>142</v>
      </c>
      <c r="B7" s="29" t="s">
        <v>143</v>
      </c>
      <c r="C7" s="29" t="s">
        <v>143</v>
      </c>
      <c r="D7" s="30"/>
      <c r="E7" s="31" t="s">
        <v>144</v>
      </c>
      <c r="F7" s="2"/>
      <c r="G7" s="2"/>
      <c r="H7" s="2"/>
      <c r="I7" s="17" t="str">
        <f t="shared" si="0"/>
        <v>orange juice</v>
      </c>
      <c r="J7" s="17" t="str">
        <f t="shared" si="1"/>
        <v>orange juice_2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B827A-48B1-E749-B3D0-190ABF7C69E8}">
  <dimension ref="A1:AA991"/>
  <sheetViews>
    <sheetView workbookViewId="0">
      <selection activeCell="I4" sqref="I4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23" t="s">
        <v>102</v>
      </c>
      <c r="B2" s="24" t="s">
        <v>97</v>
      </c>
      <c r="C2" s="24" t="s">
        <v>97</v>
      </c>
      <c r="D2" s="32"/>
      <c r="E2" s="32">
        <v>10</v>
      </c>
      <c r="F2" s="26"/>
      <c r="G2" s="26"/>
      <c r="H2" s="9"/>
      <c r="I2" s="26" t="str">
        <f t="shared" ref="I2:I5" si="0">LOWER($B2)</f>
        <v>affogato</v>
      </c>
      <c r="J2" s="26" t="str">
        <f>LOWER($B2)&amp;"_"&amp;2</f>
        <v>affogato_2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9" t="s">
        <v>99</v>
      </c>
      <c r="B3" s="9" t="s">
        <v>98</v>
      </c>
      <c r="C3" s="27" t="s">
        <v>62</v>
      </c>
      <c r="D3" s="33"/>
      <c r="E3" s="33">
        <v>13</v>
      </c>
      <c r="F3" s="9"/>
      <c r="G3" s="9"/>
      <c r="H3" s="9"/>
      <c r="I3" s="26" t="str">
        <f t="shared" si="0"/>
        <v xml:space="preserve">espresso tonic </v>
      </c>
      <c r="J3" s="26" t="str">
        <f t="shared" ref="J3:J5" si="1">LOWER($B3)&amp;"_"&amp;2</f>
        <v>espresso tonic 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9" t="s">
        <v>56</v>
      </c>
      <c r="B4" s="9" t="s">
        <v>57</v>
      </c>
      <c r="C4" s="25" t="s">
        <v>63</v>
      </c>
      <c r="D4" s="33">
        <v>250</v>
      </c>
      <c r="E4" s="33">
        <v>15</v>
      </c>
      <c r="F4" s="9"/>
      <c r="G4" s="9"/>
      <c r="H4" s="9"/>
      <c r="I4" s="26" t="s">
        <v>148</v>
      </c>
      <c r="J4" s="26" t="s">
        <v>149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2" t="s">
        <v>101</v>
      </c>
      <c r="B5" s="2" t="s">
        <v>100</v>
      </c>
      <c r="C5" s="2" t="s">
        <v>100</v>
      </c>
      <c r="D5" s="34"/>
      <c r="E5" s="34">
        <v>14</v>
      </c>
      <c r="F5" s="2"/>
      <c r="G5" s="2"/>
      <c r="H5" s="2"/>
      <c r="I5" s="26" t="str">
        <f t="shared" si="0"/>
        <v>espresso tonic cherry</v>
      </c>
      <c r="J5" s="26" t="str">
        <f t="shared" si="1"/>
        <v>espresso tonic cherry_2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honeticPr fontId="2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F99-695B-6348-B11D-7AC08F9E9102}">
  <dimension ref="A1:AA991"/>
  <sheetViews>
    <sheetView topLeftCell="B1" workbookViewId="0">
      <selection activeCell="I5" sqref="I5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46" t="s">
        <v>107</v>
      </c>
      <c r="B2" s="46" t="s">
        <v>103</v>
      </c>
      <c r="C2" s="46" t="s">
        <v>103</v>
      </c>
      <c r="D2" s="32"/>
      <c r="E2" s="47">
        <v>12</v>
      </c>
      <c r="F2" s="26"/>
      <c r="G2" s="26"/>
      <c r="H2" s="9"/>
      <c r="I2" s="26" t="str">
        <f t="shared" ref="I2:I5" si="0">LOWER($B2)</f>
        <v>pear aloe lemonade</v>
      </c>
      <c r="J2" s="26" t="str">
        <f>LOWER($B2)&amp;"_"&amp;2</f>
        <v>pear aloe lemonade_2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46" t="s">
        <v>108</v>
      </c>
      <c r="B3" s="46" t="s">
        <v>104</v>
      </c>
      <c r="C3" s="46" t="s">
        <v>104</v>
      </c>
      <c r="D3" s="33"/>
      <c r="E3" s="47">
        <v>12</v>
      </c>
      <c r="F3" s="9"/>
      <c r="G3" s="9"/>
      <c r="H3" s="9"/>
      <c r="I3" s="26" t="str">
        <f t="shared" si="0"/>
        <v>mango chili lemonade</v>
      </c>
      <c r="J3" s="26" t="str">
        <f t="shared" ref="J3:J5" si="1">LOWER($B3)&amp;"_"&amp;2</f>
        <v>mango chili lemonade_2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46" t="s">
        <v>109</v>
      </c>
      <c r="B4" s="46" t="s">
        <v>105</v>
      </c>
      <c r="C4" s="46" t="s">
        <v>105</v>
      </c>
      <c r="D4" s="33"/>
      <c r="E4" s="47">
        <v>12</v>
      </c>
      <c r="F4" s="9"/>
      <c r="G4" s="9"/>
      <c r="H4" s="9"/>
      <c r="I4" s="26" t="str">
        <f t="shared" si="0"/>
        <v>cucumber mint lemonade</v>
      </c>
      <c r="J4" s="26" t="str">
        <f t="shared" si="1"/>
        <v>cucumber mint lemonade_2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46" t="s">
        <v>110</v>
      </c>
      <c r="B5" s="46" t="s">
        <v>106</v>
      </c>
      <c r="C5" s="46" t="s">
        <v>106</v>
      </c>
      <c r="D5" s="34"/>
      <c r="E5" s="47">
        <v>12</v>
      </c>
      <c r="F5" s="2"/>
      <c r="G5" s="2"/>
      <c r="H5" s="2"/>
      <c r="I5" s="26" t="str">
        <f t="shared" si="0"/>
        <v>citrus garden lemonade</v>
      </c>
      <c r="J5" s="26" t="str">
        <f t="shared" si="1"/>
        <v>citrus garden lemonade_2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5195-0449-4947-AF9E-16AB26FFBEFF}">
  <dimension ref="A1:AA11"/>
  <sheetViews>
    <sheetView tabSelected="1" topLeftCell="C1" workbookViewId="0">
      <selection activeCell="I3" sqref="I3"/>
    </sheetView>
  </sheetViews>
  <sheetFormatPr baseColWidth="10" defaultColWidth="12.6640625" defaultRowHeight="15.75" customHeight="1"/>
  <cols>
    <col min="1" max="1" width="29.5" customWidth="1"/>
    <col min="2" max="2" width="32.83203125" customWidth="1"/>
    <col min="3" max="3" width="25.1640625" customWidth="1"/>
    <col min="6" max="6" width="20.6640625" customWidth="1"/>
    <col min="7" max="7" width="18.6640625" customWidth="1"/>
    <col min="8" max="8" width="28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ht="16">
      <c r="A2" s="23" t="s">
        <v>123</v>
      </c>
      <c r="B2" s="24" t="s">
        <v>115</v>
      </c>
      <c r="C2" s="9" t="s">
        <v>65</v>
      </c>
      <c r="D2" s="32"/>
      <c r="E2" s="32">
        <v>10</v>
      </c>
      <c r="F2" s="23"/>
      <c r="G2" s="24"/>
      <c r="H2" s="9"/>
      <c r="I2" s="26" t="str">
        <f t="shared" ref="I2:I7" si="0">LOWER($B2)</f>
        <v>matcha latte / ice matcha latte</v>
      </c>
      <c r="J2" s="26" t="str">
        <f t="shared" ref="J2:J7" si="1">LOWER($B2)&amp;"_"&amp;2</f>
        <v>matcha latte / ice matcha latte_2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3" t="s">
        <v>122</v>
      </c>
      <c r="B3" s="25" t="s">
        <v>114</v>
      </c>
      <c r="C3" s="25" t="s">
        <v>58</v>
      </c>
      <c r="D3" s="32">
        <v>250</v>
      </c>
      <c r="E3" s="32">
        <v>15</v>
      </c>
      <c r="G3" s="24"/>
      <c r="H3" s="9"/>
      <c r="I3" s="25" t="s">
        <v>147</v>
      </c>
      <c r="J3" s="25" t="s">
        <v>150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3" t="s">
        <v>121</v>
      </c>
      <c r="B4" s="25" t="s">
        <v>113</v>
      </c>
      <c r="C4" s="25" t="s">
        <v>111</v>
      </c>
      <c r="D4" s="32"/>
      <c r="E4" s="32">
        <v>10</v>
      </c>
      <c r="F4" s="23"/>
      <c r="G4" s="24"/>
      <c r="H4" s="9"/>
      <c r="I4" s="26" t="str">
        <f t="shared" si="0"/>
        <v>matcha affogato</v>
      </c>
      <c r="J4" s="26" t="str">
        <f t="shared" si="1"/>
        <v>matcha affogato_2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3" t="s">
        <v>120</v>
      </c>
      <c r="B5" s="23" t="s">
        <v>112</v>
      </c>
      <c r="C5" s="23" t="s">
        <v>112</v>
      </c>
      <c r="D5" s="38"/>
      <c r="E5" s="38">
        <v>14</v>
      </c>
      <c r="F5" s="23"/>
      <c r="G5" s="23"/>
      <c r="H5" s="23"/>
      <c r="I5" s="26" t="str">
        <f>LOWER($B5)</f>
        <v>ice matcha strawberry</v>
      </c>
      <c r="J5" s="26" t="str">
        <f t="shared" si="1"/>
        <v>ice matcha strawberry_2</v>
      </c>
      <c r="AA5" s="9"/>
    </row>
    <row r="6" spans="1:27" ht="16">
      <c r="A6" s="23" t="s">
        <v>119</v>
      </c>
      <c r="B6" s="23" t="s">
        <v>116</v>
      </c>
      <c r="C6" s="23" t="s">
        <v>116</v>
      </c>
      <c r="D6" s="38"/>
      <c r="E6" s="38">
        <v>12</v>
      </c>
      <c r="F6" s="23"/>
      <c r="G6" s="23"/>
      <c r="H6" s="23"/>
      <c r="I6" s="26" t="str">
        <f t="shared" si="0"/>
        <v>ice matcha cranberry</v>
      </c>
      <c r="J6" s="26" t="str">
        <f t="shared" si="1"/>
        <v>ice matcha cranberry_2</v>
      </c>
      <c r="AA6" s="9"/>
    </row>
    <row r="7" spans="1:27" ht="15.75" customHeight="1">
      <c r="A7" s="23" t="s">
        <v>118</v>
      </c>
      <c r="B7" s="23" t="s">
        <v>117</v>
      </c>
      <c r="C7" s="23" t="s">
        <v>117</v>
      </c>
      <c r="D7" s="39"/>
      <c r="E7" s="39">
        <v>14</v>
      </c>
      <c r="I7" s="26" t="str">
        <f t="shared" si="0"/>
        <v>ice matca mango coconut</v>
      </c>
      <c r="J7" s="26" t="str">
        <f t="shared" si="1"/>
        <v>ice matca mango coconut_2</v>
      </c>
    </row>
    <row r="11" spans="1:27" ht="15.75" customHeight="1">
      <c r="C1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CAA3C-F671-1D40-A76B-03E45A95F439}">
  <dimension ref="A1:AA989"/>
  <sheetViews>
    <sheetView topLeftCell="B1" workbookViewId="0">
      <selection activeCell="F14" sqref="A14:F24"/>
    </sheetView>
  </sheetViews>
  <sheetFormatPr baseColWidth="10" defaultColWidth="12.6640625" defaultRowHeight="16"/>
  <cols>
    <col min="1" max="1" width="34.83203125" customWidth="1"/>
    <col min="2" max="2" width="31.8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1" t="s">
        <v>128</v>
      </c>
      <c r="B2" s="1" t="s">
        <v>127</v>
      </c>
      <c r="C2" s="1" t="s">
        <v>127</v>
      </c>
      <c r="D2" s="41"/>
      <c r="E2" s="41" t="s">
        <v>124</v>
      </c>
      <c r="F2" s="1" t="s">
        <v>126</v>
      </c>
      <c r="G2" s="1" t="s">
        <v>129</v>
      </c>
      <c r="H2" s="1" t="s">
        <v>129</v>
      </c>
      <c r="I2" s="9" t="str">
        <f>LOWER($B2)</f>
        <v>tea selection</v>
      </c>
      <c r="J2" s="9" t="str">
        <f>LOWER($B2)&amp;"_"&amp;2</f>
        <v>tea selection_2</v>
      </c>
    </row>
    <row r="3" spans="1:27">
      <c r="A3" s="1" t="s">
        <v>125</v>
      </c>
      <c r="B3" s="40" t="s">
        <v>145</v>
      </c>
      <c r="C3" s="40" t="s">
        <v>59</v>
      </c>
      <c r="D3" s="42"/>
      <c r="E3" s="41">
        <v>10</v>
      </c>
      <c r="F3" s="1"/>
      <c r="G3" s="1"/>
      <c r="H3" s="1"/>
      <c r="I3" s="9" t="str">
        <f t="shared" ref="I3:I5" si="0">LOWER($B3)</f>
        <v>masala</v>
      </c>
      <c r="J3" s="9" t="str">
        <f t="shared" ref="J3:J5" si="1">LOWER($B3)&amp;"_"&amp;2</f>
        <v>masala_2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>
      <c r="A4" s="1" t="s">
        <v>132</v>
      </c>
      <c r="B4" s="1" t="s">
        <v>130</v>
      </c>
      <c r="C4" s="1" t="s">
        <v>130</v>
      </c>
      <c r="D4" s="41"/>
      <c r="E4" s="41">
        <v>15</v>
      </c>
      <c r="F4" s="1"/>
      <c r="G4" s="1"/>
      <c r="H4" s="1"/>
      <c r="I4" s="9" t="str">
        <f t="shared" si="0"/>
        <v>iced black tea with peach</v>
      </c>
      <c r="J4" s="9" t="str">
        <f t="shared" si="1"/>
        <v>iced black tea with peach_2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>
      <c r="A5" s="1" t="s">
        <v>133</v>
      </c>
      <c r="B5" s="1" t="s">
        <v>131</v>
      </c>
      <c r="C5" s="1" t="s">
        <v>131</v>
      </c>
      <c r="D5" s="41"/>
      <c r="E5" s="41">
        <v>15</v>
      </c>
      <c r="F5" s="1"/>
      <c r="G5" s="1"/>
      <c r="H5" s="1"/>
      <c r="I5" s="9" t="str">
        <f t="shared" si="0"/>
        <v>iced green tea with mango</v>
      </c>
      <c r="J5" s="9" t="str">
        <f t="shared" si="1"/>
        <v>iced green tea with mango_2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>
      <c r="A6" s="53"/>
      <c r="B6" s="54"/>
      <c r="C6" s="53"/>
      <c r="D6" s="54"/>
      <c r="E6" s="53"/>
      <c r="F6" s="53"/>
      <c r="G6" s="53"/>
      <c r="H6" s="55"/>
      <c r="I6" s="9"/>
      <c r="J6" s="9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>
      <c r="A7" s="54"/>
      <c r="B7" s="53"/>
      <c r="C7" s="54"/>
      <c r="D7" s="54"/>
      <c r="E7" s="53"/>
      <c r="F7" s="53"/>
      <c r="G7" s="53"/>
      <c r="H7" s="55"/>
      <c r="I7" s="9"/>
      <c r="J7" s="9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54"/>
      <c r="B8" s="53"/>
      <c r="C8" s="54"/>
      <c r="D8" s="54"/>
      <c r="E8" s="53"/>
      <c r="F8" s="53"/>
      <c r="G8" s="53"/>
      <c r="H8" s="55"/>
      <c r="I8" s="5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53"/>
      <c r="B17" s="54"/>
      <c r="C17" s="53"/>
      <c r="D17" s="54"/>
      <c r="E17" s="53"/>
      <c r="F17" s="53"/>
      <c r="G17" s="53"/>
      <c r="H17" s="55"/>
      <c r="I17" s="55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54"/>
      <c r="B18" s="53"/>
      <c r="C18" s="54"/>
      <c r="D18" s="54"/>
      <c r="E18" s="53"/>
      <c r="F18" s="53"/>
      <c r="G18" s="53"/>
      <c r="H18" s="55"/>
      <c r="I18" s="55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</sheetData>
  <phoneticPr fontId="2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27D6-4A54-DB45-B16A-5E121379C73E}">
  <dimension ref="A1:AA999"/>
  <sheetViews>
    <sheetView workbookViewId="0">
      <selection activeCell="C11" sqref="C11"/>
    </sheetView>
  </sheetViews>
  <sheetFormatPr baseColWidth="10" defaultColWidth="12.6640625" defaultRowHeight="15.75" customHeight="1"/>
  <cols>
    <col min="1" max="1" width="37.83203125" customWidth="1"/>
    <col min="2" max="2" width="35.33203125" customWidth="1"/>
    <col min="3" max="3" width="28.83203125" customWidth="1"/>
    <col min="4" max="4" width="14.83203125" customWidth="1"/>
    <col min="5" max="5" width="19" customWidth="1"/>
    <col min="12" max="12" width="13.83203125" customWidth="1"/>
    <col min="13" max="14" width="14.1640625" customWidth="1"/>
  </cols>
  <sheetData>
    <row r="1" spans="1:27" s="22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 ht="16">
      <c r="A2" s="43" t="s">
        <v>61</v>
      </c>
      <c r="B2" s="43" t="s">
        <v>61</v>
      </c>
      <c r="C2" s="43" t="s">
        <v>61</v>
      </c>
      <c r="D2" s="44"/>
      <c r="E2" s="45" t="s">
        <v>134</v>
      </c>
      <c r="F2" s="43"/>
      <c r="G2" s="43"/>
      <c r="H2" s="46"/>
      <c r="I2" s="26" t="str">
        <f t="shared" ref="I2:I9" si="0">LOWER($B2)</f>
        <v>blanc de blancs</v>
      </c>
      <c r="J2" s="26" t="str">
        <f t="shared" ref="J2:J9" si="1">LOWER($B2)&amp;"_"&amp;2</f>
        <v>blanc de blancs_2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46" t="s">
        <v>78</v>
      </c>
      <c r="B3" s="46" t="s">
        <v>78</v>
      </c>
      <c r="C3" s="46" t="s">
        <v>78</v>
      </c>
      <c r="D3" s="47">
        <v>750</v>
      </c>
      <c r="E3" s="47">
        <v>80</v>
      </c>
      <c r="F3" s="46" t="s">
        <v>84</v>
      </c>
      <c r="G3" s="46" t="s">
        <v>84</v>
      </c>
      <c r="H3" s="46" t="s">
        <v>84</v>
      </c>
      <c r="I3" s="26" t="str">
        <f t="shared" si="0"/>
        <v>blue dankey pet-nat</v>
      </c>
      <c r="J3" s="26" t="str">
        <f t="shared" si="1"/>
        <v>blue dankey pet-nat_2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46" t="s">
        <v>80</v>
      </c>
      <c r="B4" s="46" t="s">
        <v>80</v>
      </c>
      <c r="C4" s="46" t="s">
        <v>80</v>
      </c>
      <c r="D4" s="47"/>
      <c r="E4" s="48" t="s">
        <v>134</v>
      </c>
      <c r="F4" s="46" t="s">
        <v>82</v>
      </c>
      <c r="G4" s="46" t="s">
        <v>82</v>
      </c>
      <c r="H4" s="46" t="s">
        <v>82</v>
      </c>
      <c r="I4" s="26" t="str">
        <f>LOWER($B4)</f>
        <v>esteban martin chardonnay</v>
      </c>
      <c r="J4" s="26" t="str">
        <f t="shared" si="1"/>
        <v>esteban martin chardonnay_2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46" t="s">
        <v>81</v>
      </c>
      <c r="B5" s="46" t="s">
        <v>81</v>
      </c>
      <c r="C5" s="46" t="s">
        <v>81</v>
      </c>
      <c r="D5" s="47"/>
      <c r="E5" s="47" t="s">
        <v>79</v>
      </c>
      <c r="F5" s="46" t="s">
        <v>82</v>
      </c>
      <c r="G5" s="46" t="s">
        <v>82</v>
      </c>
      <c r="H5" s="46" t="s">
        <v>82</v>
      </c>
      <c r="I5" s="26" t="str">
        <f>LOWER($B5)</f>
        <v>marbano kisi</v>
      </c>
      <c r="J5" s="26" t="str">
        <f t="shared" si="1"/>
        <v>marbano kisi_2</v>
      </c>
    </row>
    <row r="6" spans="1:27" ht="16">
      <c r="A6" s="46" t="s">
        <v>60</v>
      </c>
      <c r="B6" s="46" t="s">
        <v>60</v>
      </c>
      <c r="C6" s="46" t="s">
        <v>60</v>
      </c>
      <c r="D6" s="47"/>
      <c r="E6" s="47" t="s">
        <v>135</v>
      </c>
      <c r="F6" s="46" t="s">
        <v>82</v>
      </c>
      <c r="G6" s="46" t="s">
        <v>82</v>
      </c>
      <c r="H6" s="46" t="s">
        <v>82</v>
      </c>
      <c r="I6" s="26" t="str">
        <f t="shared" si="0"/>
        <v>marlborough sun sauvignon blanc</v>
      </c>
      <c r="J6" s="26" t="str">
        <f t="shared" si="1"/>
        <v>marlborough sun sauvignon blanc_2</v>
      </c>
    </row>
    <row r="7" spans="1:27" ht="16">
      <c r="A7" s="46" t="s">
        <v>85</v>
      </c>
      <c r="B7" s="46" t="s">
        <v>85</v>
      </c>
      <c r="C7" s="46" t="s">
        <v>85</v>
      </c>
      <c r="D7" s="47"/>
      <c r="E7" s="47" t="s">
        <v>136</v>
      </c>
      <c r="F7" s="46" t="s">
        <v>83</v>
      </c>
      <c r="G7" s="46" t="s">
        <v>83</v>
      </c>
      <c r="H7" s="46" t="s">
        <v>83</v>
      </c>
      <c r="I7" s="26" t="str">
        <f t="shared" si="0"/>
        <v>queen tvishi</v>
      </c>
      <c r="J7" s="26" t="str">
        <f t="shared" si="1"/>
        <v>queen tvishi_2</v>
      </c>
    </row>
    <row r="8" spans="1:27" ht="16.5" customHeight="1">
      <c r="A8" s="46" t="s">
        <v>86</v>
      </c>
      <c r="B8" s="46" t="s">
        <v>86</v>
      </c>
      <c r="C8" s="46" t="s">
        <v>86</v>
      </c>
      <c r="D8" s="47"/>
      <c r="E8" s="47" t="s">
        <v>79</v>
      </c>
      <c r="F8" s="46" t="s">
        <v>87</v>
      </c>
      <c r="G8" s="46" t="s">
        <v>87</v>
      </c>
      <c r="H8" s="46" t="s">
        <v>87</v>
      </c>
      <c r="I8" s="26" t="str">
        <f t="shared" si="0"/>
        <v>esteban martin garnacha</v>
      </c>
      <c r="J8" s="26" t="str">
        <f t="shared" si="1"/>
        <v>esteban martin garnacha_2</v>
      </c>
    </row>
    <row r="9" spans="1:27" ht="16">
      <c r="A9" s="46" t="s">
        <v>88</v>
      </c>
      <c r="B9" s="46" t="s">
        <v>88</v>
      </c>
      <c r="C9" s="46" t="s">
        <v>88</v>
      </c>
      <c r="D9" s="47"/>
      <c r="E9" s="47" t="s">
        <v>79</v>
      </c>
      <c r="F9" s="46" t="s">
        <v>89</v>
      </c>
      <c r="G9" s="46" t="s">
        <v>89</v>
      </c>
      <c r="H9" s="46" t="s">
        <v>89</v>
      </c>
      <c r="I9" s="26" t="str">
        <f t="shared" si="0"/>
        <v>kindzmarauli</v>
      </c>
      <c r="J9" s="26" t="str">
        <f t="shared" si="1"/>
        <v>kindzmarauli_2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6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6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6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6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6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6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6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6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6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6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6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6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6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6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6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6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"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"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"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"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"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1:27" ht="16"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1:27" ht="16"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1:27" ht="16"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1:27" ht="16"/>
    <row r="997" spans="11:27" ht="16"/>
    <row r="998" spans="11:27" ht="16"/>
    <row r="999" spans="11:27" ht="16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6546-1615-084F-A897-E70C4C3BC123}">
  <dimension ref="A1:AA996"/>
  <sheetViews>
    <sheetView topLeftCell="C1" workbookViewId="0">
      <selection activeCell="I7" sqref="I7"/>
    </sheetView>
  </sheetViews>
  <sheetFormatPr baseColWidth="10" defaultColWidth="12.6640625" defaultRowHeight="16"/>
  <cols>
    <col min="1" max="1" width="33.1640625" customWidth="1"/>
    <col min="2" max="2" width="28.6640625" customWidth="1"/>
    <col min="3" max="3" width="32" customWidth="1"/>
    <col min="4" max="4" width="21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50" t="s">
        <v>90</v>
      </c>
      <c r="B2" s="50" t="s">
        <v>90</v>
      </c>
      <c r="C2" s="50" t="s">
        <v>90</v>
      </c>
      <c r="D2" s="44"/>
      <c r="E2" s="44">
        <v>25</v>
      </c>
      <c r="F2" s="49"/>
      <c r="G2" s="49"/>
      <c r="H2" s="49"/>
      <c r="I2" s="26" t="str">
        <f t="shared" ref="I2:I7" si="0">LOWER($B2)</f>
        <v>aperol spritz</v>
      </c>
      <c r="J2" s="26" t="str">
        <f>LOWER($B2)&amp;"_"&amp;2</f>
        <v>aperol spritz_2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7">
      <c r="A3" s="52" t="s">
        <v>137</v>
      </c>
      <c r="B3" s="52" t="s">
        <v>137</v>
      </c>
      <c r="C3" s="52" t="s">
        <v>137</v>
      </c>
      <c r="D3" s="44"/>
      <c r="E3" s="44">
        <v>25</v>
      </c>
      <c r="F3" s="49"/>
      <c r="G3" s="49"/>
      <c r="H3" s="49"/>
      <c r="I3" s="26" t="str">
        <f t="shared" si="0"/>
        <v>aloe glass</v>
      </c>
      <c r="J3" s="26" t="str">
        <f t="shared" ref="J3:J7" si="1">LOWER($B3)&amp;"_"&amp;2</f>
        <v>aloe glass_2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7">
      <c r="A4" s="52" t="s">
        <v>138</v>
      </c>
      <c r="B4" s="52" t="s">
        <v>138</v>
      </c>
      <c r="C4" s="52" t="s">
        <v>138</v>
      </c>
      <c r="D4" s="44"/>
      <c r="E4" s="44">
        <v>30</v>
      </c>
      <c r="F4" s="49"/>
      <c r="G4" s="49"/>
      <c r="H4" s="49"/>
      <c r="I4" s="26" t="str">
        <f t="shared" si="0"/>
        <v>amber peach</v>
      </c>
      <c r="J4" s="26" t="str">
        <f t="shared" si="1"/>
        <v>amber peach_2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7">
      <c r="A5" s="52" t="s">
        <v>139</v>
      </c>
      <c r="B5" s="52" t="s">
        <v>139</v>
      </c>
      <c r="C5" s="52" t="s">
        <v>139</v>
      </c>
      <c r="D5" s="44"/>
      <c r="E5" s="44">
        <v>25</v>
      </c>
      <c r="F5" s="49"/>
      <c r="G5" s="49"/>
      <c r="H5" s="49"/>
      <c r="I5" s="26" t="str">
        <f t="shared" si="0"/>
        <v>botanical mist</v>
      </c>
      <c r="J5" s="26" t="str">
        <f t="shared" si="1"/>
        <v>botanical mist_2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7">
      <c r="A6" s="52" t="s">
        <v>140</v>
      </c>
      <c r="B6" s="52" t="s">
        <v>140</v>
      </c>
      <c r="C6" s="52" t="s">
        <v>140</v>
      </c>
      <c r="D6" s="44"/>
      <c r="E6" s="44">
        <v>25</v>
      </c>
      <c r="F6" s="49"/>
      <c r="G6" s="49"/>
      <c r="H6" s="49"/>
      <c r="I6" s="26" t="str">
        <f t="shared" si="0"/>
        <v>flora glow</v>
      </c>
      <c r="J6" s="26" t="str">
        <f t="shared" si="1"/>
        <v>flora glow_2</v>
      </c>
    </row>
    <row r="7" spans="1:27" ht="19">
      <c r="A7" s="52" t="s">
        <v>141</v>
      </c>
      <c r="B7" s="52" t="s">
        <v>141</v>
      </c>
      <c r="C7" s="52" t="s">
        <v>141</v>
      </c>
      <c r="D7" s="51"/>
      <c r="E7" s="44">
        <v>30</v>
      </c>
      <c r="F7" s="23"/>
      <c r="G7" s="28"/>
      <c r="H7" s="9"/>
      <c r="I7" s="26" t="str">
        <f t="shared" si="0"/>
        <v>mango rose</v>
      </c>
      <c r="J7" s="26" t="str">
        <f t="shared" si="1"/>
        <v>mango rose_2</v>
      </c>
    </row>
    <row r="8" spans="1:27" ht="19">
      <c r="A8" s="29"/>
      <c r="B8" s="29"/>
      <c r="C8" s="29"/>
      <c r="D8" s="51"/>
      <c r="E8" s="51"/>
      <c r="F8" s="23"/>
      <c r="G8" s="28"/>
      <c r="H8" s="9"/>
      <c r="I8" s="26"/>
      <c r="J8" s="26"/>
    </row>
    <row r="9" spans="1:27" ht="16.5" customHeight="1">
      <c r="A9" s="29"/>
      <c r="B9" s="29"/>
      <c r="C9" s="29"/>
      <c r="D9" s="51"/>
      <c r="E9" s="51"/>
      <c r="F9" s="8"/>
      <c r="G9" s="8"/>
      <c r="H9" s="8"/>
      <c r="I9" s="26"/>
      <c r="J9" s="26"/>
    </row>
    <row r="10" spans="1:27" ht="19">
      <c r="A10" s="29"/>
      <c r="B10" s="29"/>
      <c r="C10" s="29"/>
      <c r="D10" s="30"/>
      <c r="E10" s="31"/>
      <c r="F10" s="16"/>
      <c r="G10" s="16"/>
      <c r="H10" s="9"/>
      <c r="I10" s="26"/>
      <c r="J10" s="26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9">
      <c r="A11" s="29"/>
      <c r="B11" s="29"/>
      <c r="C11" s="29"/>
      <c r="D11" s="30"/>
      <c r="E11" s="31"/>
      <c r="F11" s="2"/>
      <c r="G11" s="2"/>
      <c r="H11" s="2"/>
      <c r="I11" s="26"/>
      <c r="J11" s="26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6"/>
      <c r="J12" s="2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6"/>
      <c r="J13" s="26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6"/>
      <c r="J14" s="2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6"/>
      <c r="J15" s="26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6"/>
      <c r="J16" s="26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6"/>
      <c r="J17" s="26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6"/>
      <c r="J18" s="26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catalogs</vt:lpstr>
      <vt:lpstr>classic</vt:lpstr>
      <vt:lpstr>special</vt:lpstr>
      <vt:lpstr>ice drinks</vt:lpstr>
      <vt:lpstr>lemonade</vt:lpstr>
      <vt:lpstr>matcha</vt:lpstr>
      <vt:lpstr>tea</vt:lpstr>
      <vt:lpstr>wine card</vt:lpstr>
      <vt:lpstr>cocktails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2025-05-03T11:06:09Z</dcterms:created>
  <dcterms:modified xsi:type="dcterms:W3CDTF">2026-04-16T09:51:42Z</dcterms:modified>
</cp:coreProperties>
</file>